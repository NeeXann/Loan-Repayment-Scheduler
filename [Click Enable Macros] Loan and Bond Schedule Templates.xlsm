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63926\Dropbox\Education Stuff\1st Semester\Theory of Interest\"/>
    </mc:Choice>
  </mc:AlternateContent>
  <xr:revisionPtr revIDLastSave="0" documentId="13_ncr:1_{46EBD6A6-A60D-4969-826A-D737396FFE73}" xr6:coauthVersionLast="47" xr6:coauthVersionMax="47" xr10:uidLastSave="{00000000-0000-0000-0000-000000000000}"/>
  <bookViews>
    <workbookView minimized="1" xWindow="120" yWindow="120" windowWidth="23016" windowHeight="12216" activeTab="1" xr2:uid="{E9B0170E-83AD-4463-AB70-7FACFB6817CA}"/>
  </bookViews>
  <sheets>
    <sheet name="User Guide" sheetId="9" r:id="rId1"/>
    <sheet name="Amortization" sheetId="5" r:id="rId2"/>
    <sheet name="Sinking Fund" sheetId="3" r:id="rId3"/>
    <sheet name="Bond Amortization" sheetId="6" r:id="rId4"/>
    <sheet name="Preset" sheetId="8" state="hidden" r:id="rId5"/>
  </sheets>
  <definedNames>
    <definedName name="amortcell">Preset!$C$7</definedName>
    <definedName name="bondcell">Preset!$C$26</definedName>
    <definedName name="final_cell" localSheetId="0">#REF!</definedName>
    <definedName name="final_cell">#REF!</definedName>
    <definedName name="final_cell_add" localSheetId="0">#REF!</definedName>
    <definedName name="final_cell_add">#REF!</definedName>
    <definedName name="scrollbond">Preset!$C$29</definedName>
    <definedName name="scrollloan">Preset!$C$10</definedName>
    <definedName name="scrollsf">Preset!$C$19</definedName>
    <definedName name="sfcell">Preset!$C$16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15" i="8" l="1"/>
  <c r="G25" i="8" l="1"/>
  <c r="F25" i="8"/>
  <c r="J24" i="8"/>
  <c r="H25" i="8" s="1"/>
  <c r="I25" i="8" l="1"/>
  <c r="J25" i="8"/>
  <c r="G7" i="8" l="1"/>
  <c r="F27" i="8" l="1"/>
  <c r="F28" i="8" s="1"/>
  <c r="C25" i="8"/>
  <c r="C24" i="8"/>
  <c r="C29" i="8" l="1"/>
  <c r="C26" i="8"/>
  <c r="F19" i="8" l="1"/>
  <c r="C14" i="8" l="1"/>
  <c r="I16" i="8"/>
  <c r="J16" i="8" s="1"/>
  <c r="H16" i="8"/>
  <c r="K16" i="8" s="1"/>
  <c r="G16" i="8"/>
  <c r="F16" i="8"/>
  <c r="F7" i="8"/>
  <c r="C6" i="8"/>
  <c r="C5" i="8"/>
  <c r="C19" i="8" l="1"/>
  <c r="C10" i="8"/>
  <c r="C16" i="8"/>
  <c r="C7" i="8"/>
  <c r="K15" i="8" l="1"/>
  <c r="F20" i="8"/>
  <c r="J6" i="8"/>
  <c r="F10" i="8"/>
  <c r="H7" i="8" l="1"/>
  <c r="I7" i="8" l="1"/>
  <c r="J7" i="8" s="1"/>
</calcChain>
</file>

<file path=xl/sharedStrings.xml><?xml version="1.0" encoding="utf-8"?>
<sst xmlns="http://schemas.openxmlformats.org/spreadsheetml/2006/main" count="135" uniqueCount="83">
  <si>
    <t>I N F O R M A T I O N</t>
  </si>
  <si>
    <t>Periodic Interest Rate</t>
  </si>
  <si>
    <t>Period</t>
  </si>
  <si>
    <t>I N P U T S</t>
  </si>
  <si>
    <t>SINKING FUND SCHEDULE TABLE</t>
  </si>
  <si>
    <t>Interest Payment</t>
  </si>
  <si>
    <t>Sinking Fund Deposit</t>
  </si>
  <si>
    <t>Interest on the Sinking Fund</t>
  </si>
  <si>
    <t>Amount in the Sinking Fund</t>
  </si>
  <si>
    <t>Net Loan Amount</t>
  </si>
  <si>
    <t>Sinking Fund Interest Rate</t>
  </si>
  <si>
    <t>Coupon Payment</t>
  </si>
  <si>
    <t>Interest Earned</t>
  </si>
  <si>
    <t>Principal Adjustment</t>
  </si>
  <si>
    <t>Book Value</t>
  </si>
  <si>
    <t>Payment Amount</t>
  </si>
  <si>
    <t>Interest Paid</t>
  </si>
  <si>
    <t>Principal Repaid</t>
  </si>
  <si>
    <t>Outstanding Balance</t>
  </si>
  <si>
    <t>Principal Value</t>
  </si>
  <si>
    <t>Payment per Period</t>
  </si>
  <si>
    <t>BOND AMORTIZATION SCHEDULE TABLE</t>
  </si>
  <si>
    <t>I N P UT S</t>
  </si>
  <si>
    <t>Periodic Coupon Rate</t>
  </si>
  <si>
    <t>Price of the Bond</t>
  </si>
  <si>
    <t xml:space="preserve">This workbook was made in collaboration of Perido, Juan Miguel, Villalon, </t>
  </si>
  <si>
    <t>DEFINITION OF TERMS</t>
  </si>
  <si>
    <t>SINKING FUND PAYMENT</t>
  </si>
  <si>
    <t>BOND AMORTIZATION</t>
  </si>
  <si>
    <t>LOAN</t>
  </si>
  <si>
    <t>Row</t>
  </si>
  <si>
    <t>Column</t>
  </si>
  <si>
    <t>Address</t>
  </si>
  <si>
    <t>SINKING FUND</t>
  </si>
  <si>
    <t>INPUTS (LOAN AMORTIZATION)</t>
  </si>
  <si>
    <t>INPUTS (SINKING FUND)</t>
  </si>
  <si>
    <t>INPUTS (BOND AMORTIZATION)</t>
  </si>
  <si>
    <t>OUTPUTS (LOAN AMORTIZATION)</t>
  </si>
  <si>
    <t>OUTPUTS (SINKING FUND)</t>
  </si>
  <si>
    <t>OUTPUTS (BOND AMORTIZATION)</t>
  </si>
  <si>
    <t>Ezekiel Jenre, and Verdan, Xhyniña as final requirement for Theory of Interest.</t>
  </si>
  <si>
    <t>2. Enter the value of each required input in their designated cells.</t>
  </si>
  <si>
    <t>NOTES AND REMINDERS</t>
  </si>
  <si>
    <t>INSTRUCTIONS  FOR THIS TEMPLATE</t>
  </si>
  <si>
    <t>3. After entering the correct inputs, click "Generate Table" to produce your Loan Amortization Table.</t>
  </si>
  <si>
    <t>1. Determine the Par Value, the Periodic Coupon Rate, the Periodic Yield Rate,</t>
  </si>
  <si>
    <t>3. After entering the correct inputs, click "Generate Table" to produce your Sinking Fund  Schedule.</t>
  </si>
  <si>
    <t>BOND</t>
  </si>
  <si>
    <t>Face Amount</t>
  </si>
  <si>
    <t>Maturity Value</t>
  </si>
  <si>
    <t>ADDITIONAL INPUTS</t>
  </si>
  <si>
    <t>Principal Amount</t>
  </si>
  <si>
    <t>AMORTIZATION</t>
  </si>
  <si>
    <t>AMORTIZATION SCHEDULE TABLE</t>
  </si>
  <si>
    <t>the ribbons when the file is opened for the first time.</t>
  </si>
  <si>
    <t>2. Choose the desired template by either clicking one of the buttons above or by selecting the designated sheet.</t>
  </si>
  <si>
    <t>3. Type all of the necessary information at the input pane provided in each template</t>
  </si>
  <si>
    <t>4. Click 'Generate Table' to produce the needed schedule table.</t>
  </si>
  <si>
    <t>5. If needed, you can clear the results by clicking 'Clear Values'.</t>
  </si>
  <si>
    <t>ADDITIONAL INPUTS (IF NEEDED)</t>
  </si>
  <si>
    <t>3. For a non - par value bond, input your Maturity Value and Price of the Bond in the information pane.</t>
  </si>
  <si>
    <t xml:space="preserve"> (e.g. Principal Amount, Interest Rate, Term, etc.).</t>
  </si>
  <si>
    <t>GENERAL INSTRUCTIONS/REMINDERS (READ FIRST BEFORE USING)</t>
  </si>
  <si>
    <t>4.  After entering the correct inputs, click "Generate Table" to produce your table.</t>
  </si>
  <si>
    <t>SCROLL</t>
  </si>
  <si>
    <t>ADDRESS</t>
  </si>
  <si>
    <t>whole numbers) to be paid in your loan.</t>
  </si>
  <si>
    <t>and the No. of Terms (Periods and in whole numbers) to be paid for your loan.</t>
  </si>
  <si>
    <t xml:space="preserve">1. Determine the Principal Value, the Periodic Interest Rate (%), and the No. of Terms (Periods and in </t>
  </si>
  <si>
    <t>1. Determine the Principal Loan Amount, Periodic Interest Rate (%), Sinking Fund Interest Rate (%),</t>
  </si>
  <si>
    <t>and the No. of Terms (Periods &amp; in whole numbers) to be paid in your loan.</t>
  </si>
  <si>
    <t xml:space="preserve">1. Enable the Macros in this file first by clicking the 'Enable Content' button that will appear below </t>
  </si>
  <si>
    <t>1. Input periodic rate by dividing the annual rate by the number of payment periods in a year</t>
  </si>
  <si>
    <t>(e.g. 6.00% payable quarterly should be entered as 1.50%.)</t>
  </si>
  <si>
    <t xml:space="preserve">2. Enter Payment Terms as the total number of periodic payments covering the duration of the term of </t>
  </si>
  <si>
    <t>the loan or bond monthly (e.g. 120 monthly payments is equivalent to a term of 10 years).</t>
  </si>
  <si>
    <t>Payment Terms</t>
  </si>
  <si>
    <t>For more information about specific features in this workbook, refer to the definition of terms</t>
  </si>
  <si>
    <t xml:space="preserve"> below or click on "User Guide" on the template.</t>
  </si>
  <si>
    <t xml:space="preserve">2. Enter Payment Terms as the total number of periodic coupon payments covering the duration of </t>
  </si>
  <si>
    <t>the term of the loan or bond monthly (e.g. 120 monthly payments is equivalent to a term of 10 years).</t>
  </si>
  <si>
    <t>Periodic Interest Yield Rate</t>
  </si>
  <si>
    <t>3. Make sure that all of the values in the input has value before generating the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</si>
</sst>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quot;₱&quot;* #,##0.00_-;_-&quot;₱&quot;* &quot;-&quot;??_-;_-@_-"/>
    <numFmt numFmtId="164" formatCode="_-&quot;₱&quot;* #,##0.00_-;\(&quot;₱&quot;* #,##0.00_-\);_-&quot;₱&quot;* &quot;-&quot;??_-;_-@_-"/>
  </numFmts>
  <fonts count="21" x14ac:knownFonts="1">
    <font>
      <sz val="11"/>
      <color theme="1"/>
      <name val="Calibri"/>
      <family val="2"/>
      <scheme val="minor"/>
    </font>
    <font>
      <sz val="11"/>
      <color theme="1"/>
      <name val="Calibri"/>
      <family val="2"/>
      <scheme val="minor"/>
    </font>
    <font>
      <sz val="12"/>
      <color theme="9" tint="-0.499984740745262"/>
      <name val="Calibri Light"/>
      <family val="2"/>
      <scheme val="major"/>
    </font>
    <font>
      <sz val="12"/>
      <color theme="0"/>
      <name val="Calibri Light"/>
      <family val="2"/>
      <scheme val="major"/>
    </font>
    <font>
      <sz val="12"/>
      <color theme="1"/>
      <name val="Calibri Light"/>
      <family val="2"/>
      <scheme val="major"/>
    </font>
    <font>
      <b/>
      <sz val="12"/>
      <color theme="0"/>
      <name val="Avenir Next LT Pro"/>
      <family val="2"/>
    </font>
    <font>
      <sz val="12"/>
      <color rgb="FF436812"/>
      <name val="Calibri Light"/>
      <family val="2"/>
      <scheme val="major"/>
    </font>
    <font>
      <sz val="12"/>
      <color theme="0"/>
      <name val="Avenir Next LT Pro Demi"/>
      <family val="2"/>
    </font>
    <font>
      <sz val="12"/>
      <color rgb="FF436812"/>
      <name val="Avenir Next LT Pro"/>
      <family val="2"/>
    </font>
    <font>
      <b/>
      <sz val="11"/>
      <color theme="0"/>
      <name val="Calibri"/>
      <family val="2"/>
      <scheme val="minor"/>
    </font>
    <font>
      <sz val="11"/>
      <color theme="0"/>
      <name val="Calibri"/>
      <family val="2"/>
      <scheme val="minor"/>
    </font>
    <font>
      <sz val="12"/>
      <color rgb="FF436812"/>
      <name val="Calibri"/>
      <family val="2"/>
      <scheme val="minor"/>
    </font>
    <font>
      <sz val="12"/>
      <color rgb="FF00B050"/>
      <name val="Calibri Light"/>
      <family val="2"/>
      <scheme val="major"/>
    </font>
    <font>
      <sz val="11"/>
      <color rgb="FF00B050"/>
      <name val="Avenir Next LT Pro Demi"/>
      <family val="2"/>
    </font>
    <font>
      <sz val="11"/>
      <color theme="1"/>
      <name val="Avenir Next LT Pro Demi"/>
      <family val="2"/>
    </font>
    <font>
      <sz val="11"/>
      <color theme="0"/>
      <name val="Avenir Next LT Pro Demi"/>
      <family val="2"/>
    </font>
    <font>
      <sz val="12"/>
      <name val="Calibri Light"/>
      <family val="2"/>
      <scheme val="major"/>
    </font>
    <font>
      <b/>
      <sz val="12"/>
      <color theme="0"/>
      <name val="Calibri"/>
      <family val="2"/>
      <scheme val="minor"/>
    </font>
    <font>
      <b/>
      <sz val="12"/>
      <color theme="1"/>
      <name val="Calibri"/>
      <family val="2"/>
      <scheme val="minor"/>
    </font>
    <font>
      <sz val="12"/>
      <color theme="0"/>
      <name val="Calibri"/>
      <family val="2"/>
      <scheme val="minor"/>
    </font>
    <font>
      <b/>
      <sz val="12"/>
      <color theme="0"/>
      <name val="Calibri Light"/>
      <family val="2"/>
      <scheme val="major"/>
    </font>
  </fonts>
  <fills count="5">
    <fill>
      <patternFill patternType="none"/>
    </fill>
    <fill>
      <patternFill patternType="gray125"/>
    </fill>
    <fill>
      <patternFill patternType="solid">
        <fgColor theme="9" tint="0.79998168889431442"/>
        <bgColor indexed="65"/>
      </patternFill>
    </fill>
    <fill>
      <patternFill patternType="solid">
        <fgColor rgb="FF00B050"/>
        <bgColor indexed="64"/>
      </patternFill>
    </fill>
    <fill>
      <patternFill patternType="solid">
        <fgColor theme="0"/>
        <bgColor indexed="64"/>
      </patternFill>
    </fill>
  </fills>
  <borders count="19">
    <border>
      <left/>
      <right/>
      <top/>
      <bottom/>
      <diagonal/>
    </border>
    <border>
      <left style="thin">
        <color rgb="FF00B050"/>
      </left>
      <right style="thin">
        <color rgb="FF00B050"/>
      </right>
      <top style="thin">
        <color rgb="FF00B050"/>
      </top>
      <bottom style="thin">
        <color rgb="FF00B050"/>
      </bottom>
      <diagonal/>
    </border>
    <border>
      <left style="thin">
        <color rgb="FF00B050"/>
      </left>
      <right style="thin">
        <color rgb="FF00B050"/>
      </right>
      <top/>
      <bottom style="thin">
        <color rgb="FF00B050"/>
      </bottom>
      <diagonal/>
    </border>
    <border>
      <left style="thin">
        <color rgb="FF00B050"/>
      </left>
      <right style="thin">
        <color rgb="FF00B050"/>
      </right>
      <top/>
      <bottom/>
      <diagonal/>
    </border>
    <border>
      <left style="thin">
        <color rgb="FF00B050"/>
      </left>
      <right style="thin">
        <color rgb="FF00B050"/>
      </right>
      <top style="thin">
        <color rgb="FF00B050"/>
      </top>
      <bottom/>
      <diagonal/>
    </border>
    <border>
      <left style="thin">
        <color rgb="FF00B050"/>
      </left>
      <right/>
      <top style="thin">
        <color rgb="FF00B050"/>
      </top>
      <bottom style="thin">
        <color rgb="FF00B050"/>
      </bottom>
      <diagonal/>
    </border>
    <border>
      <left/>
      <right/>
      <top style="thin">
        <color rgb="FF00B050"/>
      </top>
      <bottom style="thin">
        <color rgb="FF00B050"/>
      </bottom>
      <diagonal/>
    </border>
    <border>
      <left/>
      <right style="thin">
        <color rgb="FF00B050"/>
      </right>
      <top style="thin">
        <color rgb="FF00B050"/>
      </top>
      <bottom style="thin">
        <color rgb="FF00B050"/>
      </bottom>
      <diagonal/>
    </border>
    <border>
      <left style="thin">
        <color rgb="FF00B050"/>
      </left>
      <right/>
      <top style="thin">
        <color rgb="FF00B050"/>
      </top>
      <bottom/>
      <diagonal/>
    </border>
    <border>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top/>
      <bottom style="thin">
        <color rgb="FF00B050"/>
      </bottom>
      <diagonal/>
    </border>
    <border>
      <left/>
      <right style="thin">
        <color rgb="FF00B050"/>
      </right>
      <top style="thin">
        <color rgb="FF00B050"/>
      </top>
      <bottom/>
      <diagonal/>
    </border>
    <border>
      <left/>
      <right style="thin">
        <color rgb="FF00B050"/>
      </right>
      <top/>
      <bottom/>
      <diagonal/>
    </border>
    <border>
      <left/>
      <right style="thin">
        <color rgb="FF00B050"/>
      </right>
      <top/>
      <bottom style="thin">
        <color rgb="FF00B050"/>
      </bottom>
      <diagonal/>
    </border>
    <border>
      <left/>
      <right style="thin">
        <color theme="0"/>
      </right>
      <top/>
      <bottom/>
      <diagonal/>
    </border>
    <border>
      <left style="thin">
        <color theme="0"/>
      </left>
      <right style="thin">
        <color theme="0"/>
      </right>
      <top/>
      <bottom/>
      <diagonal/>
    </border>
    <border>
      <left style="thin">
        <color theme="0"/>
      </left>
      <right/>
      <top/>
      <bottom/>
      <diagonal/>
    </border>
  </borders>
  <cellStyleXfs count="4">
    <xf numFmtId="0" fontId="0" fillId="0" borderId="0"/>
    <xf numFmtId="0" fontId="1" fillId="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105">
    <xf numFmtId="0" fontId="0" fillId="0" borderId="0" xfId="0"/>
    <xf numFmtId="0" fontId="2" fillId="0" borderId="1" xfId="0" applyFont="1" applyBorder="1"/>
    <xf numFmtId="0" fontId="6" fillId="0" borderId="2" xfId="0" applyFont="1" applyBorder="1"/>
    <xf numFmtId="0" fontId="6" fillId="0" borderId="3" xfId="0" applyFont="1" applyBorder="1"/>
    <xf numFmtId="0" fontId="6" fillId="0" borderId="4" xfId="0" applyFont="1" applyBorder="1"/>
    <xf numFmtId="0" fontId="3" fillId="3" borderId="0" xfId="1" applyFont="1" applyFill="1" applyAlignment="1">
      <alignment horizontal="center"/>
    </xf>
    <xf numFmtId="0" fontId="3" fillId="3" borderId="0" xfId="1" applyNumberFormat="1" applyFont="1" applyFill="1" applyAlignment="1">
      <alignment horizontal="center"/>
    </xf>
    <xf numFmtId="44" fontId="4" fillId="0" borderId="4" xfId="0" applyNumberFormat="1" applyFont="1" applyBorder="1"/>
    <xf numFmtId="44" fontId="4" fillId="0" borderId="2" xfId="0" applyNumberFormat="1" applyFont="1" applyBorder="1"/>
    <xf numFmtId="44" fontId="4" fillId="0" borderId="3" xfId="0" applyNumberFormat="1" applyFont="1" applyBorder="1"/>
    <xf numFmtId="10" fontId="4" fillId="0" borderId="3" xfId="0" applyNumberFormat="1" applyFont="1" applyBorder="1"/>
    <xf numFmtId="0" fontId="4" fillId="0" borderId="3" xfId="0" applyFont="1" applyBorder="1"/>
    <xf numFmtId="0" fontId="0" fillId="0" borderId="0" xfId="0" applyBorder="1"/>
    <xf numFmtId="44" fontId="2" fillId="0" borderId="0" xfId="0" applyNumberFormat="1" applyFont="1" applyBorder="1"/>
    <xf numFmtId="0" fontId="7" fillId="0" borderId="0" xfId="1" applyFont="1" applyFill="1" applyBorder="1" applyAlignment="1"/>
    <xf numFmtId="0" fontId="3" fillId="0" borderId="0" xfId="1" applyNumberFormat="1" applyFont="1" applyFill="1" applyBorder="1" applyAlignment="1">
      <alignment horizontal="center"/>
    </xf>
    <xf numFmtId="0" fontId="3" fillId="3" borderId="0" xfId="0" applyFont="1" applyFill="1" applyAlignment="1">
      <alignment horizontal="center"/>
    </xf>
    <xf numFmtId="0" fontId="11" fillId="0" borderId="1" xfId="0" applyFont="1" applyBorder="1"/>
    <xf numFmtId="0" fontId="6" fillId="0" borderId="9" xfId="0" applyFont="1" applyBorder="1"/>
    <xf numFmtId="44" fontId="4" fillId="0" borderId="9" xfId="0" applyNumberFormat="1" applyFont="1" applyBorder="1"/>
    <xf numFmtId="0" fontId="6" fillId="0" borderId="0" xfId="0" applyFont="1" applyBorder="1"/>
    <xf numFmtId="44" fontId="4" fillId="0" borderId="0" xfId="0" applyNumberFormat="1" applyFont="1" applyBorder="1"/>
    <xf numFmtId="10" fontId="4" fillId="0" borderId="3" xfId="3" applyNumberFormat="1" applyFont="1" applyBorder="1"/>
    <xf numFmtId="0" fontId="4" fillId="0" borderId="2" xfId="0" applyFont="1" applyBorder="1"/>
    <xf numFmtId="0" fontId="0" fillId="4" borderId="10" xfId="0" applyFill="1" applyBorder="1"/>
    <xf numFmtId="0" fontId="0" fillId="4" borderId="0" xfId="0" applyFill="1"/>
    <xf numFmtId="0" fontId="0" fillId="4" borderId="14" xfId="0" applyFill="1" applyBorder="1"/>
    <xf numFmtId="0" fontId="0" fillId="0" borderId="10" xfId="0" applyBorder="1"/>
    <xf numFmtId="0" fontId="0" fillId="0" borderId="14" xfId="0" applyBorder="1"/>
    <xf numFmtId="0" fontId="0" fillId="0" borderId="11" xfId="0" applyBorder="1"/>
    <xf numFmtId="0" fontId="0" fillId="0" borderId="15" xfId="0" applyBorder="1"/>
    <xf numFmtId="0" fontId="10" fillId="4" borderId="0" xfId="0" applyFont="1" applyFill="1"/>
    <xf numFmtId="0" fontId="2" fillId="0" borderId="0" xfId="0" applyFont="1" applyBorder="1"/>
    <xf numFmtId="0" fontId="4" fillId="0" borderId="15" xfId="0" applyNumberFormat="1" applyFont="1" applyBorder="1"/>
    <xf numFmtId="0" fontId="2" fillId="0" borderId="1" xfId="0" applyNumberFormat="1" applyFont="1" applyBorder="1"/>
    <xf numFmtId="0" fontId="2" fillId="0" borderId="0" xfId="0" applyNumberFormat="1" applyFont="1" applyBorder="1"/>
    <xf numFmtId="164" fontId="2" fillId="0" borderId="1" xfId="0" applyNumberFormat="1" applyFont="1" applyBorder="1"/>
    <xf numFmtId="164" fontId="2" fillId="0" borderId="0" xfId="0" applyNumberFormat="1" applyFont="1" applyBorder="1"/>
    <xf numFmtId="164" fontId="4" fillId="0" borderId="13" xfId="0" applyNumberFormat="1" applyFont="1" applyBorder="1"/>
    <xf numFmtId="164" fontId="4" fillId="0" borderId="1" xfId="0" applyNumberFormat="1" applyFont="1" applyBorder="1"/>
    <xf numFmtId="10" fontId="4" fillId="0" borderId="14" xfId="3" applyNumberFormat="1" applyFont="1" applyBorder="1"/>
    <xf numFmtId="0" fontId="0" fillId="0" borderId="0" xfId="0" applyNumberFormat="1" applyBorder="1"/>
    <xf numFmtId="164" fontId="0" fillId="0" borderId="0" xfId="0" applyNumberFormat="1" applyBorder="1"/>
    <xf numFmtId="0" fontId="10" fillId="0" borderId="0" xfId="0" applyFont="1"/>
    <xf numFmtId="0" fontId="0" fillId="0" borderId="0" xfId="0" applyAlignment="1"/>
    <xf numFmtId="164" fontId="2" fillId="0" borderId="1" xfId="2" applyNumberFormat="1" applyFont="1" applyBorder="1"/>
    <xf numFmtId="164" fontId="4" fillId="0" borderId="4" xfId="2" applyNumberFormat="1" applyFont="1" applyBorder="1"/>
    <xf numFmtId="164" fontId="4" fillId="0" borderId="4" xfId="0" applyNumberFormat="1" applyFont="1" applyBorder="1"/>
    <xf numFmtId="164" fontId="4" fillId="0" borderId="2" xfId="0" applyNumberFormat="1" applyFont="1" applyBorder="1"/>
    <xf numFmtId="0" fontId="0" fillId="0" borderId="0" xfId="0" applyFill="1" applyBorder="1"/>
    <xf numFmtId="164" fontId="2" fillId="0" borderId="0" xfId="0" applyNumberFormat="1" applyFont="1" applyFill="1" applyBorder="1"/>
    <xf numFmtId="44" fontId="2" fillId="0" borderId="0" xfId="0" applyNumberFormat="1" applyFont="1" applyFill="1" applyBorder="1"/>
    <xf numFmtId="0" fontId="0" fillId="0" borderId="0" xfId="0" applyNumberFormat="1" applyFill="1" applyBorder="1"/>
    <xf numFmtId="164" fontId="0" fillId="0" borderId="0" xfId="0" applyNumberFormat="1" applyFill="1" applyBorder="1"/>
    <xf numFmtId="0" fontId="0" fillId="0" borderId="0" xfId="0" applyFill="1" applyBorder="1" applyAlignment="1"/>
    <xf numFmtId="0" fontId="0" fillId="0" borderId="0" xfId="0" applyFill="1" applyBorder="1" applyAlignment="1">
      <alignment horizontal="center"/>
    </xf>
    <xf numFmtId="0" fontId="16" fillId="4" borderId="11" xfId="0" applyFont="1" applyFill="1" applyBorder="1" applyAlignment="1">
      <alignment horizontal="center"/>
    </xf>
    <xf numFmtId="0" fontId="16" fillId="4" borderId="12" xfId="0" applyFont="1" applyFill="1" applyBorder="1" applyAlignment="1">
      <alignment horizontal="center"/>
    </xf>
    <xf numFmtId="0" fontId="16" fillId="4" borderId="15" xfId="0" applyFont="1" applyFill="1" applyBorder="1" applyAlignment="1">
      <alignment horizontal="center"/>
    </xf>
    <xf numFmtId="0" fontId="20" fillId="3" borderId="10" xfId="0" applyFont="1" applyFill="1" applyBorder="1" applyAlignment="1">
      <alignment horizontal="center" vertical="center"/>
    </xf>
    <xf numFmtId="0" fontId="20" fillId="3" borderId="0" xfId="0" applyFont="1" applyFill="1" applyAlignment="1">
      <alignment horizontal="center" vertical="center"/>
    </xf>
    <xf numFmtId="0" fontId="20" fillId="3" borderId="14" xfId="0" applyFont="1" applyFill="1" applyBorder="1" applyAlignment="1">
      <alignment horizontal="center" vertical="center"/>
    </xf>
    <xf numFmtId="0" fontId="16" fillId="4" borderId="8" xfId="0" applyFont="1" applyFill="1" applyBorder="1" applyAlignment="1">
      <alignment horizontal="center"/>
    </xf>
    <xf numFmtId="0" fontId="16" fillId="4" borderId="9" xfId="0" applyFont="1" applyFill="1" applyBorder="1" applyAlignment="1">
      <alignment horizontal="center"/>
    </xf>
    <xf numFmtId="0" fontId="16" fillId="4" borderId="13" xfId="0" applyFont="1" applyFill="1" applyBorder="1" applyAlignment="1">
      <alignment horizontal="center"/>
    </xf>
    <xf numFmtId="0" fontId="16" fillId="4" borderId="5" xfId="0" applyFont="1" applyFill="1" applyBorder="1" applyAlignment="1">
      <alignment horizontal="center"/>
    </xf>
    <xf numFmtId="0" fontId="16" fillId="4" borderId="6" xfId="0" applyFont="1" applyFill="1" applyBorder="1" applyAlignment="1">
      <alignment horizontal="center"/>
    </xf>
    <xf numFmtId="0" fontId="16" fillId="4" borderId="7" xfId="0" applyFont="1" applyFill="1" applyBorder="1" applyAlignment="1">
      <alignment horizontal="center"/>
    </xf>
    <xf numFmtId="0" fontId="4" fillId="4" borderId="8" xfId="0" applyFont="1" applyFill="1" applyBorder="1" applyAlignment="1">
      <alignment horizontal="center"/>
    </xf>
    <xf numFmtId="0" fontId="0" fillId="4" borderId="9" xfId="0" applyFill="1" applyBorder="1" applyAlignment="1">
      <alignment horizontal="center"/>
    </xf>
    <xf numFmtId="0" fontId="0" fillId="4" borderId="13" xfId="0" applyFill="1" applyBorder="1" applyAlignment="1">
      <alignment horizontal="center"/>
    </xf>
    <xf numFmtId="0" fontId="15" fillId="3" borderId="16" xfId="0" applyFont="1" applyFill="1" applyBorder="1" applyAlignment="1">
      <alignment horizontal="center"/>
    </xf>
    <xf numFmtId="0" fontId="15" fillId="3" borderId="17" xfId="0" applyFont="1" applyFill="1" applyBorder="1" applyAlignment="1">
      <alignment horizontal="center"/>
    </xf>
    <xf numFmtId="0" fontId="15" fillId="3" borderId="18" xfId="0" applyFont="1" applyFill="1" applyBorder="1" applyAlignment="1">
      <alignment horizontal="center"/>
    </xf>
    <xf numFmtId="0" fontId="12" fillId="4" borderId="0" xfId="0" applyFont="1" applyFill="1" applyAlignment="1">
      <alignment horizontal="center"/>
    </xf>
    <xf numFmtId="0" fontId="13"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5" fillId="3" borderId="0" xfId="0" applyFont="1" applyFill="1" applyAlignment="1">
      <alignment horizontal="center"/>
    </xf>
    <xf numFmtId="0" fontId="15" fillId="0" borderId="0" xfId="0" applyFont="1" applyAlignment="1">
      <alignment horizontal="center"/>
    </xf>
    <xf numFmtId="0" fontId="15" fillId="0" borderId="16" xfId="0" applyFont="1" applyBorder="1" applyAlignment="1">
      <alignment horizontal="center"/>
    </xf>
    <xf numFmtId="0" fontId="15" fillId="0" borderId="18" xfId="0" applyFont="1" applyBorder="1" applyAlignment="1">
      <alignment horizontal="center"/>
    </xf>
    <xf numFmtId="0" fontId="15" fillId="0" borderId="0" xfId="0" applyFont="1" applyFill="1" applyBorder="1" applyAlignment="1">
      <alignment horizontal="center"/>
    </xf>
    <xf numFmtId="0" fontId="9" fillId="3" borderId="12" xfId="0" applyFont="1" applyFill="1" applyBorder="1" applyAlignment="1">
      <alignment horizontal="center"/>
    </xf>
    <xf numFmtId="0" fontId="0" fillId="3" borderId="12" xfId="0" applyFill="1" applyBorder="1" applyAlignment="1">
      <alignment horizontal="center"/>
    </xf>
    <xf numFmtId="0" fontId="0" fillId="4" borderId="8"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4" borderId="15"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5" fillId="3" borderId="0" xfId="0" applyFont="1" applyFill="1" applyAlignment="1">
      <alignment horizontal="center"/>
    </xf>
    <xf numFmtId="0" fontId="17" fillId="3" borderId="0" xfId="0" applyFont="1" applyFill="1" applyAlignment="1">
      <alignment horizontal="center"/>
    </xf>
    <xf numFmtId="0" fontId="18" fillId="3" borderId="0" xfId="0" applyFont="1" applyFill="1" applyAlignment="1">
      <alignment horizontal="center"/>
    </xf>
    <xf numFmtId="0" fontId="9"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center"/>
    </xf>
    <xf numFmtId="0" fontId="0" fillId="0" borderId="7" xfId="0" applyFill="1" applyBorder="1" applyAlignment="1">
      <alignment horizontal="center"/>
    </xf>
    <xf numFmtId="0" fontId="8" fillId="3" borderId="0" xfId="0" applyFont="1" applyFill="1" applyAlignment="1">
      <alignment horizontal="center"/>
    </xf>
    <xf numFmtId="0" fontId="17" fillId="3" borderId="0" xfId="1" applyFont="1" applyFill="1" applyBorder="1" applyAlignment="1">
      <alignment horizontal="center"/>
    </xf>
    <xf numFmtId="0" fontId="19" fillId="3" borderId="0" xfId="1" applyFont="1" applyFill="1" applyBorder="1" applyAlignment="1">
      <alignment horizontal="center"/>
    </xf>
    <xf numFmtId="0" fontId="0" fillId="0" borderId="0" xfId="0" applyAlignment="1">
      <alignment horizontal="center"/>
    </xf>
  </cellXfs>
  <cellStyles count="4">
    <cellStyle name="20% - Accent6" xfId="1" builtinId="50"/>
    <cellStyle name="Currency" xfId="2" builtinId="4"/>
    <cellStyle name="Normal" xfId="0" builtinId="0"/>
    <cellStyle name="Percent" xfId="3" builtinId="5"/>
  </cellStyles>
  <dxfs count="0"/>
  <tableStyles count="0" defaultTableStyle="TableStyleMedium2" defaultPivotStyle="PivotStyleLight16"/>
  <colors>
    <mruColors>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gi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2</xdr:col>
      <xdr:colOff>1</xdr:colOff>
      <xdr:row>31</xdr:row>
      <xdr:rowOff>7618</xdr:rowOff>
    </xdr:from>
    <xdr:to>
      <xdr:col>3</xdr:col>
      <xdr:colOff>1280474</xdr:colOff>
      <xdr:row>39</xdr:row>
      <xdr:rowOff>0</xdr:rowOff>
    </xdr:to>
    <xdr:sp macro="" textlink="">
      <xdr:nvSpPr>
        <xdr:cNvPr id="2" name="TextBox 1">
          <a:extLst>
            <a:ext uri="{FF2B5EF4-FFF2-40B4-BE49-F238E27FC236}">
              <a16:creationId xmlns:a16="http://schemas.microsoft.com/office/drawing/2014/main" id="{E6F73711-67D3-4754-860E-33FF3DD5E84F}"/>
            </a:ext>
          </a:extLst>
        </xdr:cNvPr>
        <xdr:cNvSpPr txBox="1"/>
      </xdr:nvSpPr>
      <xdr:spPr>
        <a:xfrm>
          <a:off x="3724470" y="5885904"/>
          <a:ext cx="2470126" cy="1485280"/>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dk1"/>
              </a:solidFill>
              <a:effectLst/>
              <a:latin typeface="+mj-lt"/>
              <a:ea typeface="+mn-ea"/>
              <a:cs typeface="+mn-cs"/>
            </a:rPr>
            <a:t>This</a:t>
          </a:r>
          <a:r>
            <a:rPr lang="en-US" sz="1200" baseline="0">
              <a:solidFill>
                <a:schemeClr val="dk1"/>
              </a:solidFill>
              <a:effectLst/>
              <a:latin typeface="+mj-lt"/>
              <a:ea typeface="+mn-ea"/>
              <a:cs typeface="+mn-cs"/>
            </a:rPr>
            <a:t> provides a</a:t>
          </a:r>
          <a:r>
            <a:rPr lang="en-US" sz="1200">
              <a:solidFill>
                <a:schemeClr val="dk1"/>
              </a:solidFill>
              <a:effectLst/>
              <a:latin typeface="+mj-lt"/>
              <a:ea typeface="+mn-ea"/>
              <a:cs typeface="+mn-cs"/>
            </a:rPr>
            <a:t> complete table of periodic payments, showing the amount of principal and the amount of interest that comprise each payment until the loan is paid off at the end of its term.</a:t>
          </a:r>
          <a:r>
            <a:rPr lang="en-US" sz="1200" baseline="0">
              <a:solidFill>
                <a:schemeClr val="dk1"/>
              </a:solidFill>
              <a:effectLst/>
              <a:latin typeface="+mj-lt"/>
              <a:ea typeface="+mn-ea"/>
              <a:cs typeface="+mn-cs"/>
            </a:rPr>
            <a:t> (may refer here as Amortization.)</a:t>
          </a:r>
          <a:endParaRPr lang="en-PH" sz="1200">
            <a:latin typeface="+mj-lt"/>
          </a:endParaRPr>
        </a:p>
      </xdr:txBody>
    </xdr:sp>
    <xdr:clientData/>
  </xdr:twoCellAnchor>
  <xdr:twoCellAnchor>
    <xdr:from>
      <xdr:col>2</xdr:col>
      <xdr:colOff>2</xdr:colOff>
      <xdr:row>40</xdr:row>
      <xdr:rowOff>9119</xdr:rowOff>
    </xdr:from>
    <xdr:to>
      <xdr:col>3</xdr:col>
      <xdr:colOff>1270160</xdr:colOff>
      <xdr:row>43</xdr:row>
      <xdr:rowOff>1757</xdr:rowOff>
    </xdr:to>
    <xdr:sp macro="" textlink="">
      <xdr:nvSpPr>
        <xdr:cNvPr id="3" name="TextBox 2">
          <a:extLst>
            <a:ext uri="{FF2B5EF4-FFF2-40B4-BE49-F238E27FC236}">
              <a16:creationId xmlns:a16="http://schemas.microsoft.com/office/drawing/2014/main" id="{7B1AF284-3D79-479B-A9E7-FD6EDA1C8C0D}"/>
            </a:ext>
          </a:extLst>
        </xdr:cNvPr>
        <xdr:cNvSpPr txBox="1"/>
      </xdr:nvSpPr>
      <xdr:spPr>
        <a:xfrm>
          <a:off x="2712722" y="7507199"/>
          <a:ext cx="2458878" cy="54127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Principal</a:t>
          </a:r>
          <a:r>
            <a:rPr lang="en-US" sz="1200" b="1">
              <a:solidFill>
                <a:schemeClr val="dk1"/>
              </a:solidFill>
              <a:effectLst/>
              <a:latin typeface="+mj-lt"/>
              <a:ea typeface="+mn-ea"/>
              <a:cs typeface="+mn-cs"/>
            </a:rPr>
            <a:t> – </a:t>
          </a:r>
          <a:r>
            <a:rPr lang="en-US" sz="1200" b="0">
              <a:solidFill>
                <a:schemeClr val="dk1"/>
              </a:solidFill>
              <a:effectLst/>
              <a:latin typeface="+mj-lt"/>
              <a:ea typeface="+mn-ea"/>
              <a:cs typeface="+mn-cs"/>
            </a:rPr>
            <a:t>refers to the sum of money borrowed.</a:t>
          </a:r>
        </a:p>
      </xdr:txBody>
    </xdr:sp>
    <xdr:clientData/>
  </xdr:twoCellAnchor>
  <xdr:twoCellAnchor>
    <xdr:from>
      <xdr:col>2</xdr:col>
      <xdr:colOff>2</xdr:colOff>
      <xdr:row>43</xdr:row>
      <xdr:rowOff>1757</xdr:rowOff>
    </xdr:from>
    <xdr:to>
      <xdr:col>3</xdr:col>
      <xdr:colOff>1270160</xdr:colOff>
      <xdr:row>47</xdr:row>
      <xdr:rowOff>163285</xdr:rowOff>
    </xdr:to>
    <xdr:sp macro="" textlink="">
      <xdr:nvSpPr>
        <xdr:cNvPr id="4" name="TextBox 3">
          <a:extLst>
            <a:ext uri="{FF2B5EF4-FFF2-40B4-BE49-F238E27FC236}">
              <a16:creationId xmlns:a16="http://schemas.microsoft.com/office/drawing/2014/main" id="{6082A076-055F-4252-89FB-937A315EBB49}"/>
            </a:ext>
          </a:extLst>
        </xdr:cNvPr>
        <xdr:cNvSpPr txBox="1"/>
      </xdr:nvSpPr>
      <xdr:spPr>
        <a:xfrm>
          <a:off x="2713655" y="8119390"/>
          <a:ext cx="2459811" cy="907977"/>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Periodic Interest Rate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reflected as the interest rate per period (per month commonly, per quarter, etc.).</a:t>
          </a:r>
        </a:p>
      </xdr:txBody>
    </xdr:sp>
    <xdr:clientData/>
  </xdr:twoCellAnchor>
  <xdr:twoCellAnchor>
    <xdr:from>
      <xdr:col>3</xdr:col>
      <xdr:colOff>1270160</xdr:colOff>
      <xdr:row>31</xdr:row>
      <xdr:rowOff>7618</xdr:rowOff>
    </xdr:from>
    <xdr:to>
      <xdr:col>6</xdr:col>
      <xdr:colOff>7761</xdr:colOff>
      <xdr:row>39</xdr:row>
      <xdr:rowOff>0</xdr:rowOff>
    </xdr:to>
    <xdr:sp macro="" textlink="">
      <xdr:nvSpPr>
        <xdr:cNvPr id="5" name="TextBox 4">
          <a:extLst>
            <a:ext uri="{FF2B5EF4-FFF2-40B4-BE49-F238E27FC236}">
              <a16:creationId xmlns:a16="http://schemas.microsoft.com/office/drawing/2014/main" id="{7414DF9F-6692-433F-8720-555965A27698}"/>
            </a:ext>
          </a:extLst>
        </xdr:cNvPr>
        <xdr:cNvSpPr txBox="1"/>
      </xdr:nvSpPr>
      <xdr:spPr>
        <a:xfrm>
          <a:off x="6184282" y="5885904"/>
          <a:ext cx="2493173" cy="1485280"/>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a:solidFill>
                <a:schemeClr val="dk1"/>
              </a:solidFill>
              <a:effectLst/>
              <a:latin typeface="+mj-lt"/>
              <a:ea typeface="+mn-ea"/>
              <a:cs typeface="+mn-cs"/>
            </a:rPr>
            <a:t>This</a:t>
          </a:r>
          <a:r>
            <a:rPr lang="en-US" sz="1200" baseline="0">
              <a:solidFill>
                <a:schemeClr val="dk1"/>
              </a:solidFill>
              <a:effectLst/>
              <a:latin typeface="+mj-lt"/>
              <a:ea typeface="+mn-ea"/>
              <a:cs typeface="+mn-cs"/>
            </a:rPr>
            <a:t> provides a</a:t>
          </a:r>
          <a:r>
            <a:rPr lang="en-US" sz="1200">
              <a:solidFill>
                <a:schemeClr val="dk1"/>
              </a:solidFill>
              <a:effectLst/>
              <a:latin typeface="+mj-lt"/>
              <a:ea typeface="+mn-ea"/>
              <a:cs typeface="+mn-cs"/>
            </a:rPr>
            <a:t> complete table of a Sinking Fund Repayment Schedule</a:t>
          </a:r>
          <a:r>
            <a:rPr lang="en-US" sz="1200" baseline="0">
              <a:solidFill>
                <a:schemeClr val="dk1"/>
              </a:solidFill>
              <a:effectLst/>
              <a:latin typeface="+mj-lt"/>
              <a:ea typeface="+mn-ea"/>
              <a:cs typeface="+mn-cs"/>
            </a:rPr>
            <a:t> </a:t>
          </a:r>
          <a:r>
            <a:rPr lang="en-US" sz="1200">
              <a:solidFill>
                <a:schemeClr val="dk1"/>
              </a:solidFill>
              <a:effectLst/>
              <a:latin typeface="+mj-lt"/>
              <a:ea typeface="+mn-ea"/>
              <a:cs typeface="+mn-cs"/>
            </a:rPr>
            <a:t>that shows the sinking fund contribution, interest earned, and the accumulated balance for every payment in the annuity. </a:t>
          </a:r>
        </a:p>
        <a:p>
          <a:endParaRPr lang="en-PH" sz="1200">
            <a:latin typeface="+mj-lt"/>
          </a:endParaRPr>
        </a:p>
      </xdr:txBody>
    </xdr:sp>
    <xdr:clientData/>
  </xdr:twoCellAnchor>
  <xdr:twoCellAnchor>
    <xdr:from>
      <xdr:col>3</xdr:col>
      <xdr:colOff>1270160</xdr:colOff>
      <xdr:row>40</xdr:row>
      <xdr:rowOff>9119</xdr:rowOff>
    </xdr:from>
    <xdr:to>
      <xdr:col>6</xdr:col>
      <xdr:colOff>7761</xdr:colOff>
      <xdr:row>43</xdr:row>
      <xdr:rowOff>1757</xdr:rowOff>
    </xdr:to>
    <xdr:sp macro="" textlink="">
      <xdr:nvSpPr>
        <xdr:cNvPr id="6" name="TextBox 5">
          <a:extLst>
            <a:ext uri="{FF2B5EF4-FFF2-40B4-BE49-F238E27FC236}">
              <a16:creationId xmlns:a16="http://schemas.microsoft.com/office/drawing/2014/main" id="{6D53E65A-A129-4956-8A60-3D9A16F05996}"/>
            </a:ext>
          </a:extLst>
        </xdr:cNvPr>
        <xdr:cNvSpPr txBox="1"/>
      </xdr:nvSpPr>
      <xdr:spPr>
        <a:xfrm>
          <a:off x="5171600" y="7507199"/>
          <a:ext cx="2486641" cy="54127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Principal Loan Amount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of money borrowed from the lender.</a:t>
          </a:r>
        </a:p>
      </xdr:txBody>
    </xdr:sp>
    <xdr:clientData/>
  </xdr:twoCellAnchor>
  <xdr:twoCellAnchor>
    <xdr:from>
      <xdr:col>6</xdr:col>
      <xdr:colOff>160</xdr:colOff>
      <xdr:row>31</xdr:row>
      <xdr:rowOff>7618</xdr:rowOff>
    </xdr:from>
    <xdr:to>
      <xdr:col>7</xdr:col>
      <xdr:colOff>1185415</xdr:colOff>
      <xdr:row>39</xdr:row>
      <xdr:rowOff>0</xdr:rowOff>
    </xdr:to>
    <xdr:sp macro="" textlink="">
      <xdr:nvSpPr>
        <xdr:cNvPr id="7" name="TextBox 6">
          <a:extLst>
            <a:ext uri="{FF2B5EF4-FFF2-40B4-BE49-F238E27FC236}">
              <a16:creationId xmlns:a16="http://schemas.microsoft.com/office/drawing/2014/main" id="{E8CA9460-1CC2-4A25-984A-7301C851E07B}"/>
            </a:ext>
          </a:extLst>
        </xdr:cNvPr>
        <xdr:cNvSpPr txBox="1"/>
      </xdr:nvSpPr>
      <xdr:spPr>
        <a:xfrm>
          <a:off x="8669854" y="5885904"/>
          <a:ext cx="2475990" cy="1485280"/>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j-lt"/>
              <a:ea typeface="+mn-ea"/>
              <a:cs typeface="+mn-cs"/>
            </a:rPr>
            <a:t>This</a:t>
          </a:r>
          <a:r>
            <a:rPr lang="en-US" sz="1100" baseline="0">
              <a:solidFill>
                <a:schemeClr val="dk1"/>
              </a:solidFill>
              <a:effectLst/>
              <a:latin typeface="+mj-lt"/>
              <a:ea typeface="+mn-ea"/>
              <a:cs typeface="+mn-cs"/>
            </a:rPr>
            <a:t> provides a complete table</a:t>
          </a:r>
          <a:r>
            <a:rPr lang="en-US" sz="1100">
              <a:solidFill>
                <a:schemeClr val="dk1"/>
              </a:solidFill>
              <a:effectLst/>
              <a:latin typeface="+mj-lt"/>
              <a:ea typeface="+mn-ea"/>
              <a:cs typeface="+mn-cs"/>
            </a:rPr>
            <a:t> that shows the amount of interest expense, interest payment, and discount or premium amortization of a bond in each successive period. Note:  interest payments due to the lender are paid as periodic coupon payments</a:t>
          </a:r>
        </a:p>
      </xdr:txBody>
    </xdr:sp>
    <xdr:clientData/>
  </xdr:twoCellAnchor>
  <xdr:twoCellAnchor>
    <xdr:from>
      <xdr:col>6</xdr:col>
      <xdr:colOff>160</xdr:colOff>
      <xdr:row>40</xdr:row>
      <xdr:rowOff>9119</xdr:rowOff>
    </xdr:from>
    <xdr:to>
      <xdr:col>8</xdr:col>
      <xdr:colOff>7741</xdr:colOff>
      <xdr:row>43</xdr:row>
      <xdr:rowOff>1757</xdr:rowOff>
    </xdr:to>
    <xdr:sp macro="" textlink="">
      <xdr:nvSpPr>
        <xdr:cNvPr id="8" name="TextBox 7">
          <a:extLst>
            <a:ext uri="{FF2B5EF4-FFF2-40B4-BE49-F238E27FC236}">
              <a16:creationId xmlns:a16="http://schemas.microsoft.com/office/drawing/2014/main" id="{E6E60C1E-FE08-419E-B630-32EF6AD718FA}"/>
            </a:ext>
          </a:extLst>
        </xdr:cNvPr>
        <xdr:cNvSpPr txBox="1"/>
      </xdr:nvSpPr>
      <xdr:spPr>
        <a:xfrm>
          <a:off x="7650640" y="7507199"/>
          <a:ext cx="2484081" cy="54127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Face Amount </a:t>
          </a:r>
          <a:r>
            <a:rPr lang="en-US" sz="1200" b="0">
              <a:solidFill>
                <a:schemeClr val="dk1"/>
              </a:solidFill>
              <a:effectLst/>
              <a:latin typeface="+mj-lt"/>
              <a:ea typeface="+mn-ea"/>
              <a:cs typeface="+mn-cs"/>
            </a:rPr>
            <a:t>- the value of the loan based on the amount owed.</a:t>
          </a:r>
        </a:p>
      </xdr:txBody>
    </xdr:sp>
    <xdr:clientData/>
  </xdr:twoCellAnchor>
  <xdr:twoCellAnchor>
    <xdr:from>
      <xdr:col>3</xdr:col>
      <xdr:colOff>1270160</xdr:colOff>
      <xdr:row>43</xdr:row>
      <xdr:rowOff>1756</xdr:rowOff>
    </xdr:from>
    <xdr:to>
      <xdr:col>6</xdr:col>
      <xdr:colOff>159</xdr:colOff>
      <xdr:row>47</xdr:row>
      <xdr:rowOff>173181</xdr:rowOff>
    </xdr:to>
    <xdr:sp macro="" textlink="">
      <xdr:nvSpPr>
        <xdr:cNvPr id="9" name="TextBox 8">
          <a:extLst>
            <a:ext uri="{FF2B5EF4-FFF2-40B4-BE49-F238E27FC236}">
              <a16:creationId xmlns:a16="http://schemas.microsoft.com/office/drawing/2014/main" id="{460A5EA3-2BE7-4556-98B3-A6B130356FA4}"/>
            </a:ext>
          </a:extLst>
        </xdr:cNvPr>
        <xdr:cNvSpPr txBox="1"/>
      </xdr:nvSpPr>
      <xdr:spPr>
        <a:xfrm>
          <a:off x="5171600" y="8048476"/>
          <a:ext cx="2479039" cy="902945"/>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Periodic Interest Rate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reflected as the interest rate per period (per month commonly, per quarter, etc.) paid to the lender.</a:t>
          </a:r>
        </a:p>
      </xdr:txBody>
    </xdr:sp>
    <xdr:clientData/>
  </xdr:twoCellAnchor>
  <xdr:twoCellAnchor>
    <xdr:from>
      <xdr:col>6</xdr:col>
      <xdr:colOff>160</xdr:colOff>
      <xdr:row>43</xdr:row>
      <xdr:rowOff>1757</xdr:rowOff>
    </xdr:from>
    <xdr:to>
      <xdr:col>8</xdr:col>
      <xdr:colOff>139</xdr:colOff>
      <xdr:row>47</xdr:row>
      <xdr:rowOff>163285</xdr:rowOff>
    </xdr:to>
    <xdr:sp macro="" textlink="">
      <xdr:nvSpPr>
        <xdr:cNvPr id="10" name="TextBox 9">
          <a:extLst>
            <a:ext uri="{FF2B5EF4-FFF2-40B4-BE49-F238E27FC236}">
              <a16:creationId xmlns:a16="http://schemas.microsoft.com/office/drawing/2014/main" id="{9DE62178-CACC-49A4-B07B-A17223B97651}"/>
            </a:ext>
          </a:extLst>
        </xdr:cNvPr>
        <xdr:cNvSpPr txBox="1"/>
      </xdr:nvSpPr>
      <xdr:spPr>
        <a:xfrm>
          <a:off x="7659038" y="8119390"/>
          <a:ext cx="2480366" cy="907977"/>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Periodic Coupon Rate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periodic rate of interest paid by bond issuers to its purchasers.</a:t>
          </a:r>
        </a:p>
      </xdr:txBody>
    </xdr:sp>
    <xdr:clientData/>
  </xdr:twoCellAnchor>
  <xdr:twoCellAnchor>
    <xdr:from>
      <xdr:col>3</xdr:col>
      <xdr:colOff>1270160</xdr:colOff>
      <xdr:row>47</xdr:row>
      <xdr:rowOff>163285</xdr:rowOff>
    </xdr:from>
    <xdr:to>
      <xdr:col>6</xdr:col>
      <xdr:colOff>159</xdr:colOff>
      <xdr:row>53</xdr:row>
      <xdr:rowOff>1810</xdr:rowOff>
    </xdr:to>
    <xdr:sp macro="" textlink="">
      <xdr:nvSpPr>
        <xdr:cNvPr id="12" name="TextBox 11">
          <a:extLst>
            <a:ext uri="{FF2B5EF4-FFF2-40B4-BE49-F238E27FC236}">
              <a16:creationId xmlns:a16="http://schemas.microsoft.com/office/drawing/2014/main" id="{90CD04B9-2A3A-4D88-9937-A78D4CA77467}"/>
            </a:ext>
          </a:extLst>
        </xdr:cNvPr>
        <xdr:cNvSpPr txBox="1"/>
      </xdr:nvSpPr>
      <xdr:spPr>
        <a:xfrm>
          <a:off x="5173466" y="9027367"/>
          <a:ext cx="2485571" cy="95819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Sinking Fund Interest Rate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reflected as the interest rate per period (per month commonly, per quarter, etc.) earned by the sinking fund.</a:t>
          </a:r>
        </a:p>
      </xdr:txBody>
    </xdr:sp>
    <xdr:clientData/>
  </xdr:twoCellAnchor>
  <xdr:twoCellAnchor>
    <xdr:from>
      <xdr:col>6</xdr:col>
      <xdr:colOff>160</xdr:colOff>
      <xdr:row>47</xdr:row>
      <xdr:rowOff>163285</xdr:rowOff>
    </xdr:from>
    <xdr:to>
      <xdr:col>8</xdr:col>
      <xdr:colOff>139</xdr:colOff>
      <xdr:row>53</xdr:row>
      <xdr:rowOff>1810</xdr:rowOff>
    </xdr:to>
    <xdr:sp macro="" textlink="">
      <xdr:nvSpPr>
        <xdr:cNvPr id="13" name="TextBox 12">
          <a:extLst>
            <a:ext uri="{FF2B5EF4-FFF2-40B4-BE49-F238E27FC236}">
              <a16:creationId xmlns:a16="http://schemas.microsoft.com/office/drawing/2014/main" id="{F34FE0D5-51DE-4BD7-807D-E81178D3D03A}"/>
            </a:ext>
          </a:extLst>
        </xdr:cNvPr>
        <xdr:cNvSpPr txBox="1"/>
      </xdr:nvSpPr>
      <xdr:spPr>
        <a:xfrm>
          <a:off x="7659038" y="9027367"/>
          <a:ext cx="2480366" cy="95819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Periodic Yield Rate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reflected as the interest rate per period (per month commonly, per quarter, etc.).</a:t>
          </a:r>
        </a:p>
      </xdr:txBody>
    </xdr:sp>
    <xdr:clientData/>
  </xdr:twoCellAnchor>
  <xdr:twoCellAnchor>
    <xdr:from>
      <xdr:col>2</xdr:col>
      <xdr:colOff>7776</xdr:colOff>
      <xdr:row>73</xdr:row>
      <xdr:rowOff>60576</xdr:rowOff>
    </xdr:from>
    <xdr:to>
      <xdr:col>4</xdr:col>
      <xdr:colOff>215</xdr:colOff>
      <xdr:row>79</xdr:row>
      <xdr:rowOff>69980</xdr:rowOff>
    </xdr:to>
    <xdr:sp macro="" textlink="">
      <xdr:nvSpPr>
        <xdr:cNvPr id="11" name="TextBox 10">
          <a:extLst>
            <a:ext uri="{FF2B5EF4-FFF2-40B4-BE49-F238E27FC236}">
              <a16:creationId xmlns:a16="http://schemas.microsoft.com/office/drawing/2014/main" id="{CC492959-AEA5-4B45-8147-7A51D6DCAEC5}"/>
            </a:ext>
          </a:extLst>
        </xdr:cNvPr>
        <xdr:cNvSpPr txBox="1"/>
      </xdr:nvSpPr>
      <xdr:spPr>
        <a:xfrm>
          <a:off x="3732245" y="13776576"/>
          <a:ext cx="2472827" cy="1129077"/>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Principal Repaid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a payment that goes towards the repayment of the original amount of money borrowed in a loan</a:t>
          </a:r>
        </a:p>
      </xdr:txBody>
    </xdr:sp>
    <xdr:clientData/>
  </xdr:twoCellAnchor>
  <xdr:twoCellAnchor>
    <xdr:from>
      <xdr:col>2</xdr:col>
      <xdr:colOff>7776</xdr:colOff>
      <xdr:row>79</xdr:row>
      <xdr:rowOff>67427</xdr:rowOff>
    </xdr:from>
    <xdr:to>
      <xdr:col>4</xdr:col>
      <xdr:colOff>215</xdr:colOff>
      <xdr:row>85</xdr:row>
      <xdr:rowOff>70185</xdr:rowOff>
    </xdr:to>
    <xdr:sp macro="" textlink="">
      <xdr:nvSpPr>
        <xdr:cNvPr id="14" name="TextBox 13">
          <a:extLst>
            <a:ext uri="{FF2B5EF4-FFF2-40B4-BE49-F238E27FC236}">
              <a16:creationId xmlns:a16="http://schemas.microsoft.com/office/drawing/2014/main" id="{78E43652-9CAF-4B33-B7F8-2239D5BE6C97}"/>
            </a:ext>
          </a:extLst>
        </xdr:cNvPr>
        <xdr:cNvSpPr txBox="1"/>
      </xdr:nvSpPr>
      <xdr:spPr>
        <a:xfrm>
          <a:off x="3732245" y="14903100"/>
          <a:ext cx="2472827" cy="1122432"/>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Interest Paid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payment that accounts for the amount of interest on the loan.</a:t>
          </a:r>
        </a:p>
      </xdr:txBody>
    </xdr:sp>
    <xdr:clientData/>
  </xdr:twoCellAnchor>
  <xdr:twoCellAnchor>
    <xdr:from>
      <xdr:col>3</xdr:col>
      <xdr:colOff>1275400</xdr:colOff>
      <xdr:row>68</xdr:row>
      <xdr:rowOff>184060</xdr:rowOff>
    </xdr:from>
    <xdr:to>
      <xdr:col>6</xdr:col>
      <xdr:colOff>2273</xdr:colOff>
      <xdr:row>73</xdr:row>
      <xdr:rowOff>69980</xdr:rowOff>
    </xdr:to>
    <xdr:sp macro="" textlink="">
      <xdr:nvSpPr>
        <xdr:cNvPr id="15" name="TextBox 14">
          <a:extLst>
            <a:ext uri="{FF2B5EF4-FFF2-40B4-BE49-F238E27FC236}">
              <a16:creationId xmlns:a16="http://schemas.microsoft.com/office/drawing/2014/main" id="{7A1C9A99-3123-4A94-8C47-D77E1AA6A90E}"/>
            </a:ext>
          </a:extLst>
        </xdr:cNvPr>
        <xdr:cNvSpPr txBox="1"/>
      </xdr:nvSpPr>
      <xdr:spPr>
        <a:xfrm>
          <a:off x="6189522" y="12966999"/>
          <a:ext cx="2482445" cy="818981"/>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Interest Payment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of interest you pay per period.</a:t>
          </a:r>
        </a:p>
      </xdr:txBody>
    </xdr:sp>
    <xdr:clientData/>
  </xdr:twoCellAnchor>
  <xdr:twoCellAnchor>
    <xdr:from>
      <xdr:col>5</xdr:col>
      <xdr:colOff>1209852</xdr:colOff>
      <xdr:row>58</xdr:row>
      <xdr:rowOff>1889</xdr:rowOff>
    </xdr:from>
    <xdr:to>
      <xdr:col>7</xdr:col>
      <xdr:colOff>1178408</xdr:colOff>
      <xdr:row>63</xdr:row>
      <xdr:rowOff>80</xdr:rowOff>
    </xdr:to>
    <xdr:sp macro="" textlink="">
      <xdr:nvSpPr>
        <xdr:cNvPr id="16" name="TextBox 15">
          <a:extLst>
            <a:ext uri="{FF2B5EF4-FFF2-40B4-BE49-F238E27FC236}">
              <a16:creationId xmlns:a16="http://schemas.microsoft.com/office/drawing/2014/main" id="{52E81CAD-5800-4E60-90C5-730BECCF318F}"/>
            </a:ext>
          </a:extLst>
        </xdr:cNvPr>
        <xdr:cNvSpPr txBox="1"/>
      </xdr:nvSpPr>
      <xdr:spPr>
        <a:xfrm>
          <a:off x="7647974" y="10918705"/>
          <a:ext cx="2480046" cy="931253"/>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Maturity</a:t>
          </a:r>
          <a:r>
            <a:rPr lang="en-US" sz="1200" b="1" baseline="0">
              <a:solidFill>
                <a:srgbClr val="00B050"/>
              </a:solidFill>
              <a:effectLst/>
              <a:latin typeface="+mj-lt"/>
              <a:ea typeface="+mn-ea"/>
              <a:cs typeface="+mn-cs"/>
            </a:rPr>
            <a:t> Value / Coupon Payment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payment paid to a bondholder by the bond issuer until the debt instrument matures.</a:t>
          </a:r>
        </a:p>
      </xdr:txBody>
    </xdr:sp>
    <xdr:clientData/>
  </xdr:twoCellAnchor>
  <xdr:twoCellAnchor>
    <xdr:from>
      <xdr:col>2</xdr:col>
      <xdr:colOff>15550</xdr:colOff>
      <xdr:row>85</xdr:row>
      <xdr:rowOff>70167</xdr:rowOff>
    </xdr:from>
    <xdr:to>
      <xdr:col>4</xdr:col>
      <xdr:colOff>0</xdr:colOff>
      <xdr:row>90</xdr:row>
      <xdr:rowOff>98259</xdr:rowOff>
    </xdr:to>
    <xdr:sp macro="" textlink="">
      <xdr:nvSpPr>
        <xdr:cNvPr id="17" name="TextBox 16">
          <a:extLst>
            <a:ext uri="{FF2B5EF4-FFF2-40B4-BE49-F238E27FC236}">
              <a16:creationId xmlns:a16="http://schemas.microsoft.com/office/drawing/2014/main" id="{BF80EDDE-7C67-4CA3-B5B3-9C2612B3C78E}"/>
            </a:ext>
          </a:extLst>
        </xdr:cNvPr>
        <xdr:cNvSpPr txBox="1"/>
      </xdr:nvSpPr>
      <xdr:spPr>
        <a:xfrm>
          <a:off x="3740019" y="16025514"/>
          <a:ext cx="2464838" cy="961153"/>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baseline="0">
              <a:solidFill>
                <a:srgbClr val="00B050"/>
              </a:solidFill>
              <a:effectLst/>
              <a:latin typeface="+mj-lt"/>
              <a:ea typeface="+mn-ea"/>
              <a:cs typeface="+mn-cs"/>
            </a:rPr>
            <a:t>Outstanding Balance </a:t>
          </a:r>
          <a:r>
            <a:rPr lang="en-US" sz="1200" b="1" baseline="0">
              <a:solidFill>
                <a:schemeClr val="dk1"/>
              </a:solidFill>
              <a:effectLst/>
              <a:latin typeface="+mj-lt"/>
              <a:ea typeface="+mn-ea"/>
              <a:cs typeface="+mn-cs"/>
            </a:rPr>
            <a:t>- </a:t>
          </a:r>
          <a:r>
            <a:rPr lang="en-US" sz="1200" b="0">
              <a:solidFill>
                <a:schemeClr val="dk1"/>
              </a:solidFill>
              <a:effectLst/>
              <a:latin typeface="+mj-lt"/>
              <a:ea typeface="+mn-ea"/>
              <a:cs typeface="+mn-cs"/>
            </a:rPr>
            <a:t>the amount that is left in your fund at a certain time period.</a:t>
          </a:r>
        </a:p>
      </xdr:txBody>
    </xdr:sp>
    <xdr:clientData/>
  </xdr:twoCellAnchor>
  <xdr:twoCellAnchor>
    <xdr:from>
      <xdr:col>4</xdr:col>
      <xdr:colOff>216</xdr:colOff>
      <xdr:row>73</xdr:row>
      <xdr:rowOff>68404</xdr:rowOff>
    </xdr:from>
    <xdr:to>
      <xdr:col>5</xdr:col>
      <xdr:colOff>1212979</xdr:colOff>
      <xdr:row>79</xdr:row>
      <xdr:rowOff>69980</xdr:rowOff>
    </xdr:to>
    <xdr:sp macro="" textlink="">
      <xdr:nvSpPr>
        <xdr:cNvPr id="18" name="TextBox 17">
          <a:extLst>
            <a:ext uri="{FF2B5EF4-FFF2-40B4-BE49-F238E27FC236}">
              <a16:creationId xmlns:a16="http://schemas.microsoft.com/office/drawing/2014/main" id="{76141C01-4D40-4116-8B4B-A574D9A1174C}"/>
            </a:ext>
          </a:extLst>
        </xdr:cNvPr>
        <xdr:cNvSpPr txBox="1"/>
      </xdr:nvSpPr>
      <xdr:spPr>
        <a:xfrm>
          <a:off x="6205073" y="13784404"/>
          <a:ext cx="2456845" cy="1121249"/>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Sinking Fund Deposit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of money you deposit on your Sinking Fund per period.</a:t>
          </a:r>
        </a:p>
      </xdr:txBody>
    </xdr:sp>
    <xdr:clientData/>
  </xdr:twoCellAnchor>
  <xdr:twoCellAnchor>
    <xdr:from>
      <xdr:col>5</xdr:col>
      <xdr:colOff>1215175</xdr:colOff>
      <xdr:row>62</xdr:row>
      <xdr:rowOff>185034</xdr:rowOff>
    </xdr:from>
    <xdr:to>
      <xdr:col>7</xdr:col>
      <xdr:colOff>1183731</xdr:colOff>
      <xdr:row>67</xdr:row>
      <xdr:rowOff>178836</xdr:rowOff>
    </xdr:to>
    <xdr:sp macro="" textlink="">
      <xdr:nvSpPr>
        <xdr:cNvPr id="19" name="TextBox 18">
          <a:extLst>
            <a:ext uri="{FF2B5EF4-FFF2-40B4-BE49-F238E27FC236}">
              <a16:creationId xmlns:a16="http://schemas.microsoft.com/office/drawing/2014/main" id="{7629E510-CA1C-49B7-A4CE-D4797EA4879D}"/>
            </a:ext>
          </a:extLst>
        </xdr:cNvPr>
        <xdr:cNvSpPr txBox="1"/>
      </xdr:nvSpPr>
      <xdr:spPr>
        <a:xfrm>
          <a:off x="7653297" y="11848299"/>
          <a:ext cx="2480046" cy="926864"/>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Price of the Bond</a:t>
          </a:r>
          <a:r>
            <a:rPr lang="en-US" sz="1200" b="1">
              <a:solidFill>
                <a:schemeClr val="dk1"/>
              </a:solidFill>
              <a:effectLst/>
              <a:latin typeface="+mj-lt"/>
              <a:ea typeface="+mn-ea"/>
              <a:cs typeface="+mn-cs"/>
            </a:rPr>
            <a:t> - </a:t>
          </a:r>
          <a:r>
            <a:rPr lang="en-US" sz="1200" b="0">
              <a:solidFill>
                <a:schemeClr val="dk1"/>
              </a:solidFill>
              <a:effectLst/>
              <a:latin typeface="+mj-lt"/>
              <a:ea typeface="+mn-ea"/>
              <a:cs typeface="+mn-cs"/>
            </a:rPr>
            <a:t>is the price at which the issuing company will repurchase the bond from investors before its maturity date.</a:t>
          </a:r>
        </a:p>
      </xdr:txBody>
    </xdr:sp>
    <xdr:clientData/>
  </xdr:twoCellAnchor>
  <xdr:twoCellAnchor>
    <xdr:from>
      <xdr:col>4</xdr:col>
      <xdr:colOff>215</xdr:colOff>
      <xdr:row>90</xdr:row>
      <xdr:rowOff>99865</xdr:rowOff>
    </xdr:from>
    <xdr:to>
      <xdr:col>6</xdr:col>
      <xdr:colOff>0</xdr:colOff>
      <xdr:row>94</xdr:row>
      <xdr:rowOff>116634</xdr:rowOff>
    </xdr:to>
    <xdr:sp macro="" textlink="">
      <xdr:nvSpPr>
        <xdr:cNvPr id="20" name="TextBox 19">
          <a:extLst>
            <a:ext uri="{FF2B5EF4-FFF2-40B4-BE49-F238E27FC236}">
              <a16:creationId xmlns:a16="http://schemas.microsoft.com/office/drawing/2014/main" id="{9B755BB8-AD17-4C1E-A670-CCF33829234A}"/>
            </a:ext>
          </a:extLst>
        </xdr:cNvPr>
        <xdr:cNvSpPr txBox="1"/>
      </xdr:nvSpPr>
      <xdr:spPr>
        <a:xfrm>
          <a:off x="6205072" y="16988273"/>
          <a:ext cx="2464622" cy="76321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Net Loan Amount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that</a:t>
          </a:r>
          <a:r>
            <a:rPr lang="en-US" sz="1200" b="0" baseline="0">
              <a:solidFill>
                <a:schemeClr val="dk1"/>
              </a:solidFill>
              <a:effectLst/>
              <a:latin typeface="+mj-lt"/>
              <a:ea typeface="+mn-ea"/>
              <a:cs typeface="+mn-cs"/>
            </a:rPr>
            <a:t> is</a:t>
          </a:r>
          <a:r>
            <a:rPr lang="en-US" sz="1200" b="0">
              <a:solidFill>
                <a:schemeClr val="dk1"/>
              </a:solidFill>
              <a:effectLst/>
              <a:latin typeface="+mj-lt"/>
              <a:ea typeface="+mn-ea"/>
              <a:cs typeface="+mn-cs"/>
            </a:rPr>
            <a:t> left in your fund at a certain time period</a:t>
          </a:r>
          <a:r>
            <a:rPr lang="en-US" sz="1200" b="1">
              <a:solidFill>
                <a:schemeClr val="dk1"/>
              </a:solidFill>
              <a:effectLst/>
              <a:latin typeface="+mj-lt"/>
              <a:ea typeface="+mn-ea"/>
              <a:cs typeface="+mn-cs"/>
            </a:rPr>
            <a:t>.</a:t>
          </a:r>
        </a:p>
      </xdr:txBody>
    </xdr:sp>
    <xdr:clientData/>
  </xdr:twoCellAnchor>
  <xdr:twoCellAnchor>
    <xdr:from>
      <xdr:col>5</xdr:col>
      <xdr:colOff>1215173</xdr:colOff>
      <xdr:row>68</xdr:row>
      <xdr:rowOff>185394</xdr:rowOff>
    </xdr:from>
    <xdr:to>
      <xdr:col>7</xdr:col>
      <xdr:colOff>1183729</xdr:colOff>
      <xdr:row>73</xdr:row>
      <xdr:rowOff>69980</xdr:rowOff>
    </xdr:to>
    <xdr:sp macro="" textlink="">
      <xdr:nvSpPr>
        <xdr:cNvPr id="21" name="TextBox 20">
          <a:extLst>
            <a:ext uri="{FF2B5EF4-FFF2-40B4-BE49-F238E27FC236}">
              <a16:creationId xmlns:a16="http://schemas.microsoft.com/office/drawing/2014/main" id="{FD281CF0-61F5-4EF1-98B4-3021A319AA6A}"/>
            </a:ext>
          </a:extLst>
        </xdr:cNvPr>
        <xdr:cNvSpPr txBox="1"/>
      </xdr:nvSpPr>
      <xdr:spPr>
        <a:xfrm>
          <a:off x="8664112" y="12968333"/>
          <a:ext cx="2480046" cy="817647"/>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Interest Earned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of interest earned from investments that pay the holder a regular series of mandated payments.</a:t>
          </a:r>
        </a:p>
      </xdr:txBody>
    </xdr:sp>
    <xdr:clientData/>
  </xdr:twoCellAnchor>
  <xdr:twoCellAnchor>
    <xdr:from>
      <xdr:col>5</xdr:col>
      <xdr:colOff>1215173</xdr:colOff>
      <xdr:row>73</xdr:row>
      <xdr:rowOff>67662</xdr:rowOff>
    </xdr:from>
    <xdr:to>
      <xdr:col>7</xdr:col>
      <xdr:colOff>1183729</xdr:colOff>
      <xdr:row>79</xdr:row>
      <xdr:rowOff>67694</xdr:rowOff>
    </xdr:to>
    <xdr:sp macro="" textlink="">
      <xdr:nvSpPr>
        <xdr:cNvPr id="24" name="TextBox 23">
          <a:extLst>
            <a:ext uri="{FF2B5EF4-FFF2-40B4-BE49-F238E27FC236}">
              <a16:creationId xmlns:a16="http://schemas.microsoft.com/office/drawing/2014/main" id="{8BDC441A-6243-4A52-B632-53F870459C0A}"/>
            </a:ext>
          </a:extLst>
        </xdr:cNvPr>
        <xdr:cNvSpPr txBox="1"/>
      </xdr:nvSpPr>
      <xdr:spPr>
        <a:xfrm>
          <a:off x="8664112" y="13783662"/>
          <a:ext cx="2480046" cy="1119705"/>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Principal Adjustment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a change to the outstanding loan balance which can sometimes happen when a loan holder repays above the minimum monthly repayment.</a:t>
          </a:r>
        </a:p>
      </xdr:txBody>
    </xdr:sp>
    <xdr:clientData/>
  </xdr:twoCellAnchor>
  <xdr:twoCellAnchor>
    <xdr:from>
      <xdr:col>5</xdr:col>
      <xdr:colOff>1215173</xdr:colOff>
      <xdr:row>79</xdr:row>
      <xdr:rowOff>67694</xdr:rowOff>
    </xdr:from>
    <xdr:to>
      <xdr:col>7</xdr:col>
      <xdr:colOff>1183729</xdr:colOff>
      <xdr:row>85</xdr:row>
      <xdr:rowOff>69980</xdr:rowOff>
    </xdr:to>
    <xdr:sp macro="" textlink="">
      <xdr:nvSpPr>
        <xdr:cNvPr id="27" name="TextBox 26">
          <a:extLst>
            <a:ext uri="{FF2B5EF4-FFF2-40B4-BE49-F238E27FC236}">
              <a16:creationId xmlns:a16="http://schemas.microsoft.com/office/drawing/2014/main" id="{B57B18AF-A5CE-41FA-8ABE-70A6E998B462}"/>
            </a:ext>
          </a:extLst>
        </xdr:cNvPr>
        <xdr:cNvSpPr txBox="1"/>
      </xdr:nvSpPr>
      <xdr:spPr>
        <a:xfrm>
          <a:off x="8664112" y="14903367"/>
          <a:ext cx="2480046" cy="1121960"/>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Book Value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actual amount of money that the bond seller owes the bond buyer at any point in time.</a:t>
          </a:r>
        </a:p>
      </xdr:txBody>
    </xdr:sp>
    <xdr:clientData/>
  </xdr:twoCellAnchor>
  <xdr:twoCellAnchor editAs="oneCell">
    <xdr:from>
      <xdr:col>2</xdr:col>
      <xdr:colOff>349898</xdr:colOff>
      <xdr:row>1</xdr:row>
      <xdr:rowOff>69980</xdr:rowOff>
    </xdr:from>
    <xdr:to>
      <xdr:col>7</xdr:col>
      <xdr:colOff>987489</xdr:colOff>
      <xdr:row>10</xdr:row>
      <xdr:rowOff>64797</xdr:rowOff>
    </xdr:to>
    <xdr:pic>
      <xdr:nvPicPr>
        <xdr:cNvPr id="28" name="Picture 27">
          <a:extLst>
            <a:ext uri="{FF2B5EF4-FFF2-40B4-BE49-F238E27FC236}">
              <a16:creationId xmlns:a16="http://schemas.microsoft.com/office/drawing/2014/main" id="{84716752-BB8A-49E7-A69C-41BBA0EC7D35}"/>
            </a:ext>
          </a:extLst>
        </xdr:cNvPr>
        <xdr:cNvPicPr>
          <a:picLocks noChangeAspect="1"/>
        </xdr:cNvPicPr>
      </xdr:nvPicPr>
      <xdr:blipFill>
        <a:blip xmlns:r="http://schemas.openxmlformats.org/officeDocument/2006/relationships" r:embed="rId1"/>
        <a:stretch>
          <a:fillRect/>
        </a:stretch>
      </xdr:blipFill>
      <xdr:spPr>
        <a:xfrm>
          <a:off x="3062618" y="252860"/>
          <a:ext cx="6863132" cy="1640737"/>
        </a:xfrm>
        <a:prstGeom prst="rect">
          <a:avLst/>
        </a:prstGeom>
      </xdr:spPr>
    </xdr:pic>
    <xdr:clientData/>
  </xdr:twoCellAnchor>
  <xdr:twoCellAnchor>
    <xdr:from>
      <xdr:col>2</xdr:col>
      <xdr:colOff>388776</xdr:colOff>
      <xdr:row>13</xdr:row>
      <xdr:rowOff>116634</xdr:rowOff>
    </xdr:from>
    <xdr:to>
      <xdr:col>4</xdr:col>
      <xdr:colOff>77756</xdr:colOff>
      <xdr:row>15</xdr:row>
      <xdr:rowOff>46653</xdr:rowOff>
    </xdr:to>
    <xdr:sp macro="[0]!Loan_Button" textlink="">
      <xdr:nvSpPr>
        <xdr:cNvPr id="30" name="Rectangle 29">
          <a:extLst>
            <a:ext uri="{FF2B5EF4-FFF2-40B4-BE49-F238E27FC236}">
              <a16:creationId xmlns:a16="http://schemas.microsoft.com/office/drawing/2014/main" id="{3EBF7D8C-D458-4DAF-83D6-C99C5B24B712}"/>
            </a:ext>
          </a:extLst>
        </xdr:cNvPr>
        <xdr:cNvSpPr/>
      </xdr:nvSpPr>
      <xdr:spPr>
        <a:xfrm>
          <a:off x="3101496" y="2494074"/>
          <a:ext cx="2165480" cy="295779"/>
        </a:xfrm>
        <a:prstGeom prst="rect">
          <a:avLst/>
        </a:prstGeom>
        <a:solidFill>
          <a:schemeClr val="bg1"/>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0">
              <a:solidFill>
                <a:srgbClr val="00B050"/>
              </a:solidFill>
              <a:latin typeface="+mj-lt"/>
            </a:rPr>
            <a:t>AMORTIZATION</a:t>
          </a:r>
        </a:p>
      </xdr:txBody>
    </xdr:sp>
    <xdr:clientData/>
  </xdr:twoCellAnchor>
  <xdr:twoCellAnchor>
    <xdr:from>
      <xdr:col>4</xdr:col>
      <xdr:colOff>154097</xdr:colOff>
      <xdr:row>13</xdr:row>
      <xdr:rowOff>120450</xdr:rowOff>
    </xdr:from>
    <xdr:to>
      <xdr:col>5</xdr:col>
      <xdr:colOff>1079383</xdr:colOff>
      <xdr:row>15</xdr:row>
      <xdr:rowOff>50469</xdr:rowOff>
    </xdr:to>
    <xdr:sp macro="[0]!SF_Button" textlink="">
      <xdr:nvSpPr>
        <xdr:cNvPr id="31" name="Rectangle 30">
          <a:extLst>
            <a:ext uri="{FF2B5EF4-FFF2-40B4-BE49-F238E27FC236}">
              <a16:creationId xmlns:a16="http://schemas.microsoft.com/office/drawing/2014/main" id="{83094390-2DF2-4680-8BC7-B6EE5445E7DB}"/>
            </a:ext>
          </a:extLst>
        </xdr:cNvPr>
        <xdr:cNvSpPr/>
      </xdr:nvSpPr>
      <xdr:spPr>
        <a:xfrm>
          <a:off x="5343317" y="2497890"/>
          <a:ext cx="2167346" cy="295779"/>
        </a:xfrm>
        <a:prstGeom prst="rect">
          <a:avLst/>
        </a:prstGeom>
        <a:solidFill>
          <a:schemeClr val="bg1"/>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0">
              <a:solidFill>
                <a:srgbClr val="00B050"/>
              </a:solidFill>
              <a:latin typeface="+mj-lt"/>
            </a:rPr>
            <a:t>SINKING FUND PAYMENT</a:t>
          </a:r>
        </a:p>
      </xdr:txBody>
    </xdr:sp>
    <xdr:clientData/>
  </xdr:twoCellAnchor>
  <xdr:twoCellAnchor>
    <xdr:from>
      <xdr:col>5</xdr:col>
      <xdr:colOff>1152327</xdr:colOff>
      <xdr:row>13</xdr:row>
      <xdr:rowOff>118190</xdr:rowOff>
    </xdr:from>
    <xdr:to>
      <xdr:col>7</xdr:col>
      <xdr:colOff>810206</xdr:colOff>
      <xdr:row>15</xdr:row>
      <xdr:rowOff>48209</xdr:rowOff>
    </xdr:to>
    <xdr:sp macro="[0]!Bond_Button" textlink="">
      <xdr:nvSpPr>
        <xdr:cNvPr id="32" name="Rectangle 31">
          <a:extLst>
            <a:ext uri="{FF2B5EF4-FFF2-40B4-BE49-F238E27FC236}">
              <a16:creationId xmlns:a16="http://schemas.microsoft.com/office/drawing/2014/main" id="{B2118264-6CAD-4D76-861C-7DCC98C69984}"/>
            </a:ext>
          </a:extLst>
        </xdr:cNvPr>
        <xdr:cNvSpPr/>
      </xdr:nvSpPr>
      <xdr:spPr>
        <a:xfrm>
          <a:off x="7583607" y="2495630"/>
          <a:ext cx="2164859" cy="295779"/>
        </a:xfrm>
        <a:prstGeom prst="rect">
          <a:avLst/>
        </a:prstGeom>
        <a:solidFill>
          <a:schemeClr val="bg1"/>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0">
              <a:solidFill>
                <a:srgbClr val="00B050"/>
              </a:solidFill>
              <a:latin typeface="+mj-lt"/>
            </a:rPr>
            <a:t>BOND</a:t>
          </a:r>
          <a:r>
            <a:rPr lang="en-PH" sz="1400" b="0" baseline="0">
              <a:solidFill>
                <a:srgbClr val="00B050"/>
              </a:solidFill>
              <a:latin typeface="+mj-lt"/>
            </a:rPr>
            <a:t> AMORTIZATION</a:t>
          </a:r>
          <a:endParaRPr lang="en-PH" sz="1400" b="0">
            <a:solidFill>
              <a:srgbClr val="00B050"/>
            </a:solidFill>
            <a:latin typeface="+mj-lt"/>
          </a:endParaRPr>
        </a:p>
      </xdr:txBody>
    </xdr:sp>
    <xdr:clientData/>
  </xdr:twoCellAnchor>
  <xdr:twoCellAnchor editAs="oneCell">
    <xdr:from>
      <xdr:col>2</xdr:col>
      <xdr:colOff>855306</xdr:colOff>
      <xdr:row>6</xdr:row>
      <xdr:rowOff>7777</xdr:rowOff>
    </xdr:from>
    <xdr:to>
      <xdr:col>3</xdr:col>
      <xdr:colOff>598713</xdr:colOff>
      <xdr:row>11</xdr:row>
      <xdr:rowOff>7776</xdr:rowOff>
    </xdr:to>
    <xdr:pic>
      <xdr:nvPicPr>
        <xdr:cNvPr id="33" name="Picture 32">
          <a:extLst>
            <a:ext uri="{FF2B5EF4-FFF2-40B4-BE49-F238E27FC236}">
              <a16:creationId xmlns:a16="http://schemas.microsoft.com/office/drawing/2014/main" id="{16AF7131-C176-46E1-BAAF-FA3B8F23518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568026" y="1105057"/>
          <a:ext cx="932127" cy="914399"/>
        </a:xfrm>
        <a:prstGeom prst="rect">
          <a:avLst/>
        </a:prstGeom>
      </xdr:spPr>
    </xdr:pic>
    <xdr:clientData/>
  </xdr:twoCellAnchor>
  <xdr:twoCellAnchor editAs="oneCell">
    <xdr:from>
      <xdr:col>6</xdr:col>
      <xdr:colOff>968828</xdr:colOff>
      <xdr:row>5</xdr:row>
      <xdr:rowOff>152401</xdr:rowOff>
    </xdr:from>
    <xdr:to>
      <xdr:col>7</xdr:col>
      <xdr:colOff>611154</xdr:colOff>
      <xdr:row>10</xdr:row>
      <xdr:rowOff>152401</xdr:rowOff>
    </xdr:to>
    <xdr:pic>
      <xdr:nvPicPr>
        <xdr:cNvPr id="34" name="Picture 33">
          <a:extLst>
            <a:ext uri="{FF2B5EF4-FFF2-40B4-BE49-F238E27FC236}">
              <a16:creationId xmlns:a16="http://schemas.microsoft.com/office/drawing/2014/main" id="{F1A0F1A1-60BE-4E5E-BF8A-5EC8C6A8AC4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619308" y="1066801"/>
          <a:ext cx="930107" cy="914400"/>
        </a:xfrm>
        <a:prstGeom prst="rect">
          <a:avLst/>
        </a:prstGeom>
      </xdr:spPr>
    </xdr:pic>
    <xdr:clientData/>
  </xdr:twoCellAnchor>
  <xdr:twoCellAnchor>
    <xdr:from>
      <xdr:col>2</xdr:col>
      <xdr:colOff>0</xdr:colOff>
      <xdr:row>47</xdr:row>
      <xdr:rowOff>157834</xdr:rowOff>
    </xdr:from>
    <xdr:to>
      <xdr:col>3</xdr:col>
      <xdr:colOff>1272618</xdr:colOff>
      <xdr:row>52</xdr:row>
      <xdr:rowOff>178367</xdr:rowOff>
    </xdr:to>
    <xdr:sp macro="" textlink="">
      <xdr:nvSpPr>
        <xdr:cNvPr id="35" name="TextBox 34">
          <a:extLst>
            <a:ext uri="{FF2B5EF4-FFF2-40B4-BE49-F238E27FC236}">
              <a16:creationId xmlns:a16="http://schemas.microsoft.com/office/drawing/2014/main" id="{DEB88E64-E0F9-4FAB-8EE2-EFFE1A405597}"/>
            </a:ext>
          </a:extLst>
        </xdr:cNvPr>
        <xdr:cNvSpPr txBox="1"/>
      </xdr:nvSpPr>
      <xdr:spPr>
        <a:xfrm>
          <a:off x="3724469" y="9021916"/>
          <a:ext cx="2462271" cy="953594"/>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Payment Term</a:t>
          </a:r>
          <a:r>
            <a:rPr lang="en-US" sz="1200" b="1" baseline="0">
              <a:solidFill>
                <a:srgbClr val="00B050"/>
              </a:solidFill>
              <a:effectLst/>
              <a:latin typeface="+mj-lt"/>
              <a:ea typeface="+mn-ea"/>
              <a:cs typeface="+mn-cs"/>
            </a:rPr>
            <a:t>  -  </a:t>
          </a:r>
          <a:r>
            <a:rPr lang="en-US" sz="1200" b="0" baseline="0">
              <a:solidFill>
                <a:sysClr val="windowText" lastClr="000000"/>
              </a:solidFill>
              <a:effectLst/>
              <a:latin typeface="+mj-lt"/>
              <a:ea typeface="+mn-ea"/>
              <a:cs typeface="+mn-cs"/>
            </a:rPr>
            <a:t>The total no. of regular or periodic payments</a:t>
          </a:r>
          <a:endParaRPr lang="en-US" sz="1200" b="1">
            <a:solidFill>
              <a:srgbClr val="00B050"/>
            </a:solidFill>
            <a:effectLst/>
            <a:latin typeface="+mj-lt"/>
            <a:ea typeface="+mn-ea"/>
            <a:cs typeface="+mn-cs"/>
          </a:endParaRPr>
        </a:p>
      </xdr:txBody>
    </xdr:sp>
    <xdr:clientData/>
  </xdr:twoCellAnchor>
  <xdr:twoCellAnchor>
    <xdr:from>
      <xdr:col>3</xdr:col>
      <xdr:colOff>1273185</xdr:colOff>
      <xdr:row>53</xdr:row>
      <xdr:rowOff>2745</xdr:rowOff>
    </xdr:from>
    <xdr:to>
      <xdr:col>6</xdr:col>
      <xdr:colOff>2200</xdr:colOff>
      <xdr:row>57</xdr:row>
      <xdr:rowOff>0</xdr:rowOff>
    </xdr:to>
    <xdr:sp macro="" textlink="">
      <xdr:nvSpPr>
        <xdr:cNvPr id="36" name="TextBox 35">
          <a:extLst>
            <a:ext uri="{FF2B5EF4-FFF2-40B4-BE49-F238E27FC236}">
              <a16:creationId xmlns:a16="http://schemas.microsoft.com/office/drawing/2014/main" id="{B2A4E25B-3AFA-4F1C-B404-23006530FFFB}"/>
            </a:ext>
          </a:extLst>
        </xdr:cNvPr>
        <xdr:cNvSpPr txBox="1"/>
      </xdr:nvSpPr>
      <xdr:spPr>
        <a:xfrm>
          <a:off x="5174625" y="9878265"/>
          <a:ext cx="2478055" cy="728775"/>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rgbClr val="00B050"/>
              </a:solidFill>
              <a:effectLst/>
              <a:latin typeface="+mj-lt"/>
              <a:ea typeface="+mn-ea"/>
              <a:cs typeface="+mn-cs"/>
            </a:rPr>
            <a:t>Payment Term</a:t>
          </a:r>
          <a:r>
            <a:rPr lang="en-US" sz="1200" b="1" baseline="0">
              <a:solidFill>
                <a:srgbClr val="00B050"/>
              </a:solidFill>
              <a:effectLst/>
              <a:latin typeface="+mj-lt"/>
              <a:ea typeface="+mn-ea"/>
              <a:cs typeface="+mn-cs"/>
            </a:rPr>
            <a:t>  </a:t>
          </a:r>
          <a:r>
            <a:rPr lang="en-US" sz="1200" b="1" baseline="0">
              <a:solidFill>
                <a:schemeClr val="dk1"/>
              </a:solidFill>
              <a:effectLst/>
              <a:latin typeface="+mj-lt"/>
              <a:ea typeface="+mn-ea"/>
              <a:cs typeface="+mn-cs"/>
            </a:rPr>
            <a:t>-  </a:t>
          </a:r>
          <a:r>
            <a:rPr lang="en-US" sz="1200" b="0" baseline="0">
              <a:solidFill>
                <a:schemeClr val="dk1"/>
              </a:solidFill>
              <a:effectLst/>
              <a:latin typeface="+mj-lt"/>
              <a:ea typeface="+mn-ea"/>
              <a:cs typeface="+mn-cs"/>
            </a:rPr>
            <a:t>The total no. of regular or periodic payments</a:t>
          </a:r>
          <a:endParaRPr lang="en-US" sz="1200" b="0">
            <a:solidFill>
              <a:schemeClr val="dk1"/>
            </a:solidFill>
            <a:effectLst/>
            <a:latin typeface="+mj-lt"/>
            <a:ea typeface="+mn-ea"/>
            <a:cs typeface="+mn-cs"/>
          </a:endParaRPr>
        </a:p>
      </xdr:txBody>
    </xdr:sp>
    <xdr:clientData/>
  </xdr:twoCellAnchor>
  <xdr:twoCellAnchor>
    <xdr:from>
      <xdr:col>6</xdr:col>
      <xdr:colOff>3708</xdr:colOff>
      <xdr:row>52</xdr:row>
      <xdr:rowOff>178713</xdr:rowOff>
    </xdr:from>
    <xdr:to>
      <xdr:col>8</xdr:col>
      <xdr:colOff>5342</xdr:colOff>
      <xdr:row>57</xdr:row>
      <xdr:rowOff>1301</xdr:rowOff>
    </xdr:to>
    <xdr:sp macro="" textlink="">
      <xdr:nvSpPr>
        <xdr:cNvPr id="37" name="TextBox 36">
          <a:extLst>
            <a:ext uri="{FF2B5EF4-FFF2-40B4-BE49-F238E27FC236}">
              <a16:creationId xmlns:a16="http://schemas.microsoft.com/office/drawing/2014/main" id="{EE8D240A-3AA2-4EC2-B4CD-467BC068F975}"/>
            </a:ext>
          </a:extLst>
        </xdr:cNvPr>
        <xdr:cNvSpPr txBox="1"/>
      </xdr:nvSpPr>
      <xdr:spPr>
        <a:xfrm>
          <a:off x="7654188" y="9871353"/>
          <a:ext cx="2478134" cy="736988"/>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rgbClr val="00B050"/>
              </a:solidFill>
              <a:effectLst/>
              <a:latin typeface="+mj-lt"/>
              <a:ea typeface="+mn-ea"/>
              <a:cs typeface="+mn-cs"/>
            </a:rPr>
            <a:t>Payment</a:t>
          </a:r>
          <a:r>
            <a:rPr lang="en-US" sz="1200" b="1" baseline="0">
              <a:solidFill>
                <a:srgbClr val="00B050"/>
              </a:solidFill>
              <a:effectLst/>
              <a:latin typeface="+mj-lt"/>
              <a:ea typeface="+mn-ea"/>
              <a:cs typeface="+mn-cs"/>
            </a:rPr>
            <a:t> Term  </a:t>
          </a:r>
          <a:r>
            <a:rPr lang="en-US" sz="1200" b="1" baseline="0">
              <a:solidFill>
                <a:schemeClr val="dk1"/>
              </a:solidFill>
              <a:effectLst/>
              <a:latin typeface="+mj-lt"/>
              <a:ea typeface="+mn-ea"/>
              <a:cs typeface="+mn-cs"/>
            </a:rPr>
            <a:t>-  </a:t>
          </a:r>
          <a:r>
            <a:rPr lang="en-US" sz="1200" b="0" baseline="0">
              <a:solidFill>
                <a:schemeClr val="dk1"/>
              </a:solidFill>
              <a:effectLst/>
              <a:latin typeface="+mj-lt"/>
              <a:ea typeface="+mn-ea"/>
              <a:cs typeface="+mn-cs"/>
            </a:rPr>
            <a:t>The total no. of regular or periodic payments</a:t>
          </a:r>
          <a:endParaRPr lang="en-US" sz="1200" b="0">
            <a:solidFill>
              <a:schemeClr val="dk1"/>
            </a:solidFill>
            <a:effectLst/>
            <a:latin typeface="+mj-lt"/>
            <a:ea typeface="+mn-ea"/>
            <a:cs typeface="+mn-cs"/>
          </a:endParaRPr>
        </a:p>
      </xdr:txBody>
    </xdr:sp>
    <xdr:clientData/>
  </xdr:twoCellAnchor>
  <xdr:twoCellAnchor>
    <xdr:from>
      <xdr:col>1</xdr:col>
      <xdr:colOff>2278223</xdr:colOff>
      <xdr:row>52</xdr:row>
      <xdr:rowOff>178711</xdr:rowOff>
    </xdr:from>
    <xdr:to>
      <xdr:col>3</xdr:col>
      <xdr:colOff>1270105</xdr:colOff>
      <xdr:row>57</xdr:row>
      <xdr:rowOff>0</xdr:rowOff>
    </xdr:to>
    <xdr:sp macro="" textlink="">
      <xdr:nvSpPr>
        <xdr:cNvPr id="38" name="TextBox 37">
          <a:extLst>
            <a:ext uri="{FF2B5EF4-FFF2-40B4-BE49-F238E27FC236}">
              <a16:creationId xmlns:a16="http://schemas.microsoft.com/office/drawing/2014/main" id="{E009B39C-35BF-489B-A7A4-9DCD04CEBFD3}"/>
            </a:ext>
          </a:extLst>
        </xdr:cNvPr>
        <xdr:cNvSpPr txBox="1"/>
      </xdr:nvSpPr>
      <xdr:spPr>
        <a:xfrm>
          <a:off x="3724468" y="9975854"/>
          <a:ext cx="2459759" cy="754350"/>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dk1"/>
            </a:solidFill>
            <a:effectLst/>
            <a:latin typeface="+mj-lt"/>
            <a:ea typeface="+mn-ea"/>
            <a:cs typeface="+mn-cs"/>
          </a:endParaRPr>
        </a:p>
      </xdr:txBody>
    </xdr:sp>
    <xdr:clientData/>
  </xdr:twoCellAnchor>
  <xdr:twoCellAnchor>
    <xdr:from>
      <xdr:col>3</xdr:col>
      <xdr:colOff>1268945</xdr:colOff>
      <xdr:row>57</xdr:row>
      <xdr:rowOff>185391</xdr:rowOff>
    </xdr:from>
    <xdr:to>
      <xdr:col>5</xdr:col>
      <xdr:colOff>1214175</xdr:colOff>
      <xdr:row>62</xdr:row>
      <xdr:rowOff>183583</xdr:rowOff>
    </xdr:to>
    <xdr:sp macro="" textlink="">
      <xdr:nvSpPr>
        <xdr:cNvPr id="43" name="TextBox 42">
          <a:extLst>
            <a:ext uri="{FF2B5EF4-FFF2-40B4-BE49-F238E27FC236}">
              <a16:creationId xmlns:a16="http://schemas.microsoft.com/office/drawing/2014/main" id="{5244642A-EAE2-4532-B4FE-DFEE00E94F5C}"/>
            </a:ext>
          </a:extLst>
        </xdr:cNvPr>
        <xdr:cNvSpPr txBox="1"/>
      </xdr:nvSpPr>
      <xdr:spPr>
        <a:xfrm>
          <a:off x="5172251" y="10915595"/>
          <a:ext cx="2480046" cy="931253"/>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dk1"/>
            </a:solidFill>
            <a:effectLst/>
            <a:latin typeface="+mj-lt"/>
            <a:ea typeface="+mn-ea"/>
            <a:cs typeface="+mn-cs"/>
          </a:endParaRPr>
        </a:p>
      </xdr:txBody>
    </xdr:sp>
    <xdr:clientData/>
  </xdr:twoCellAnchor>
  <xdr:twoCellAnchor>
    <xdr:from>
      <xdr:col>3</xdr:col>
      <xdr:colOff>1282959</xdr:colOff>
      <xdr:row>63</xdr:row>
      <xdr:rowOff>3444</xdr:rowOff>
    </xdr:from>
    <xdr:to>
      <xdr:col>5</xdr:col>
      <xdr:colOff>1211065</xdr:colOff>
      <xdr:row>67</xdr:row>
      <xdr:rowOff>178836</xdr:rowOff>
    </xdr:to>
    <xdr:sp macro="" textlink="">
      <xdr:nvSpPr>
        <xdr:cNvPr id="44" name="TextBox 43">
          <a:extLst>
            <a:ext uri="{FF2B5EF4-FFF2-40B4-BE49-F238E27FC236}">
              <a16:creationId xmlns:a16="http://schemas.microsoft.com/office/drawing/2014/main" id="{C98C60C5-ED86-4BE3-827D-A1170C67F82A}"/>
            </a:ext>
          </a:extLst>
        </xdr:cNvPr>
        <xdr:cNvSpPr txBox="1"/>
      </xdr:nvSpPr>
      <xdr:spPr>
        <a:xfrm>
          <a:off x="5186265" y="11853322"/>
          <a:ext cx="2462922" cy="921841"/>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dk1"/>
            </a:solidFill>
            <a:effectLst/>
            <a:latin typeface="+mj-lt"/>
            <a:ea typeface="+mn-ea"/>
            <a:cs typeface="+mn-cs"/>
          </a:endParaRPr>
        </a:p>
      </xdr:txBody>
    </xdr:sp>
    <xdr:clientData/>
  </xdr:twoCellAnchor>
  <xdr:twoCellAnchor>
    <xdr:from>
      <xdr:col>2</xdr:col>
      <xdr:colOff>7776</xdr:colOff>
      <xdr:row>58</xdr:row>
      <xdr:rowOff>8111</xdr:rowOff>
    </xdr:from>
    <xdr:to>
      <xdr:col>3</xdr:col>
      <xdr:colOff>1285709</xdr:colOff>
      <xdr:row>62</xdr:row>
      <xdr:rowOff>183503</xdr:rowOff>
    </xdr:to>
    <xdr:sp macro="" textlink="">
      <xdr:nvSpPr>
        <xdr:cNvPr id="45" name="TextBox 44">
          <a:extLst>
            <a:ext uri="{FF2B5EF4-FFF2-40B4-BE49-F238E27FC236}">
              <a16:creationId xmlns:a16="http://schemas.microsoft.com/office/drawing/2014/main" id="{54A058B2-2D7C-48D2-8DD4-CC8381868A4C}"/>
            </a:ext>
          </a:extLst>
        </xdr:cNvPr>
        <xdr:cNvSpPr txBox="1"/>
      </xdr:nvSpPr>
      <xdr:spPr>
        <a:xfrm>
          <a:off x="3732245" y="10924927"/>
          <a:ext cx="2467586" cy="921841"/>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dk1"/>
            </a:solidFill>
            <a:effectLst/>
            <a:latin typeface="+mj-lt"/>
            <a:ea typeface="+mn-ea"/>
            <a:cs typeface="+mn-cs"/>
          </a:endParaRPr>
        </a:p>
      </xdr:txBody>
    </xdr:sp>
    <xdr:clientData/>
  </xdr:twoCellAnchor>
  <xdr:twoCellAnchor>
    <xdr:from>
      <xdr:col>2</xdr:col>
      <xdr:colOff>0</xdr:colOff>
      <xdr:row>63</xdr:row>
      <xdr:rowOff>334</xdr:rowOff>
    </xdr:from>
    <xdr:to>
      <xdr:col>3</xdr:col>
      <xdr:colOff>1285709</xdr:colOff>
      <xdr:row>67</xdr:row>
      <xdr:rowOff>175726</xdr:rowOff>
    </xdr:to>
    <xdr:sp macro="" textlink="">
      <xdr:nvSpPr>
        <xdr:cNvPr id="46" name="TextBox 45">
          <a:extLst>
            <a:ext uri="{FF2B5EF4-FFF2-40B4-BE49-F238E27FC236}">
              <a16:creationId xmlns:a16="http://schemas.microsoft.com/office/drawing/2014/main" id="{8C056A10-E187-4C17-BF18-AB235269A5CA}"/>
            </a:ext>
          </a:extLst>
        </xdr:cNvPr>
        <xdr:cNvSpPr txBox="1"/>
      </xdr:nvSpPr>
      <xdr:spPr>
        <a:xfrm>
          <a:off x="3724469" y="11850212"/>
          <a:ext cx="2475362" cy="921841"/>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0">
            <a:solidFill>
              <a:schemeClr val="dk1"/>
            </a:solidFill>
            <a:effectLst/>
            <a:latin typeface="+mj-lt"/>
            <a:ea typeface="+mn-ea"/>
            <a:cs typeface="+mn-cs"/>
          </a:endParaRPr>
        </a:p>
      </xdr:txBody>
    </xdr:sp>
    <xdr:clientData/>
  </xdr:twoCellAnchor>
  <xdr:twoCellAnchor>
    <xdr:from>
      <xdr:col>2</xdr:col>
      <xdr:colOff>7776</xdr:colOff>
      <xdr:row>69</xdr:row>
      <xdr:rowOff>3038</xdr:rowOff>
    </xdr:from>
    <xdr:to>
      <xdr:col>3</xdr:col>
      <xdr:colOff>1287840</xdr:colOff>
      <xdr:row>73</xdr:row>
      <xdr:rowOff>69981</xdr:rowOff>
    </xdr:to>
    <xdr:sp macro="" textlink="">
      <xdr:nvSpPr>
        <xdr:cNvPr id="56" name="TextBox 55">
          <a:extLst>
            <a:ext uri="{FF2B5EF4-FFF2-40B4-BE49-F238E27FC236}">
              <a16:creationId xmlns:a16="http://schemas.microsoft.com/office/drawing/2014/main" id="{B8913609-7BF8-4ECC-ACD1-A131F5D41799}"/>
            </a:ext>
          </a:extLst>
        </xdr:cNvPr>
        <xdr:cNvSpPr txBox="1"/>
      </xdr:nvSpPr>
      <xdr:spPr>
        <a:xfrm>
          <a:off x="3732245" y="12972589"/>
          <a:ext cx="2469717" cy="813392"/>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Payment per period / Payment amount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that you</a:t>
          </a:r>
          <a:r>
            <a:rPr lang="en-US" sz="1200" b="0" baseline="0">
              <a:solidFill>
                <a:schemeClr val="dk1"/>
              </a:solidFill>
              <a:effectLst/>
              <a:latin typeface="+mj-lt"/>
              <a:ea typeface="+mn-ea"/>
              <a:cs typeface="+mn-cs"/>
            </a:rPr>
            <a:t> paid per period</a:t>
          </a:r>
          <a:endParaRPr lang="en-US" sz="1200" b="0">
            <a:solidFill>
              <a:schemeClr val="dk1"/>
            </a:solidFill>
            <a:effectLst/>
            <a:latin typeface="+mj-lt"/>
            <a:ea typeface="+mn-ea"/>
            <a:cs typeface="+mn-cs"/>
          </a:endParaRPr>
        </a:p>
      </xdr:txBody>
    </xdr:sp>
    <xdr:clientData/>
  </xdr:twoCellAnchor>
  <xdr:twoCellAnchor>
    <xdr:from>
      <xdr:col>3</xdr:col>
      <xdr:colOff>1287841</xdr:colOff>
      <xdr:row>79</xdr:row>
      <xdr:rowOff>72092</xdr:rowOff>
    </xdr:from>
    <xdr:to>
      <xdr:col>5</xdr:col>
      <xdr:colOff>1212979</xdr:colOff>
      <xdr:row>85</xdr:row>
      <xdr:rowOff>69979</xdr:rowOff>
    </xdr:to>
    <xdr:sp macro="" textlink="">
      <xdr:nvSpPr>
        <xdr:cNvPr id="57" name="TextBox 56">
          <a:extLst>
            <a:ext uri="{FF2B5EF4-FFF2-40B4-BE49-F238E27FC236}">
              <a16:creationId xmlns:a16="http://schemas.microsoft.com/office/drawing/2014/main" id="{A300C13C-A8E8-4169-8D51-DB879757E281}"/>
            </a:ext>
          </a:extLst>
        </xdr:cNvPr>
        <xdr:cNvSpPr txBox="1"/>
      </xdr:nvSpPr>
      <xdr:spPr>
        <a:xfrm>
          <a:off x="6201963" y="14907765"/>
          <a:ext cx="2459955" cy="1117561"/>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Interest in the Sinking</a:t>
          </a:r>
          <a:r>
            <a:rPr lang="en-US" sz="1200" b="1" baseline="0">
              <a:solidFill>
                <a:srgbClr val="00B050"/>
              </a:solidFill>
              <a:effectLst/>
              <a:latin typeface="+mj-lt"/>
              <a:ea typeface="+mn-ea"/>
              <a:cs typeface="+mn-cs"/>
            </a:rPr>
            <a:t> Fund </a:t>
          </a:r>
          <a:r>
            <a:rPr lang="en-US" sz="1200" b="1">
              <a:solidFill>
                <a:schemeClr val="dk1"/>
              </a:solidFill>
              <a:effectLst/>
              <a:latin typeface="+mj-lt"/>
              <a:ea typeface="+mn-ea"/>
              <a:cs typeface="+mn-cs"/>
            </a:rPr>
            <a:t>– </a:t>
          </a:r>
          <a:r>
            <a:rPr lang="en-US" sz="1200" b="0">
              <a:solidFill>
                <a:schemeClr val="dk1"/>
              </a:solidFill>
              <a:effectLst/>
              <a:latin typeface="+mj-lt"/>
              <a:ea typeface="+mn-ea"/>
              <a:cs typeface="+mn-cs"/>
            </a:rPr>
            <a:t>the amount of interest on the sinking</a:t>
          </a:r>
          <a:r>
            <a:rPr lang="en-US" sz="1200" b="0" baseline="0">
              <a:solidFill>
                <a:schemeClr val="dk1"/>
              </a:solidFill>
              <a:effectLst/>
              <a:latin typeface="+mj-lt"/>
              <a:ea typeface="+mn-ea"/>
              <a:cs typeface="+mn-cs"/>
            </a:rPr>
            <a:t> fund</a:t>
          </a:r>
          <a:r>
            <a:rPr lang="en-US" sz="1200" b="0">
              <a:solidFill>
                <a:schemeClr val="dk1"/>
              </a:solidFill>
              <a:effectLst/>
              <a:latin typeface="+mj-lt"/>
              <a:ea typeface="+mn-ea"/>
              <a:cs typeface="+mn-cs"/>
            </a:rPr>
            <a:t> that was accrued during this period</a:t>
          </a:r>
        </a:p>
      </xdr:txBody>
    </xdr:sp>
    <xdr:clientData/>
  </xdr:twoCellAnchor>
  <xdr:twoCellAnchor>
    <xdr:from>
      <xdr:col>4</xdr:col>
      <xdr:colOff>1771</xdr:colOff>
      <xdr:row>85</xdr:row>
      <xdr:rowOff>68981</xdr:rowOff>
    </xdr:from>
    <xdr:to>
      <xdr:col>6</xdr:col>
      <xdr:colOff>19379</xdr:colOff>
      <xdr:row>90</xdr:row>
      <xdr:rowOff>101081</xdr:rowOff>
    </xdr:to>
    <xdr:sp macro="" textlink="">
      <xdr:nvSpPr>
        <xdr:cNvPr id="58" name="TextBox 57">
          <a:extLst>
            <a:ext uri="{FF2B5EF4-FFF2-40B4-BE49-F238E27FC236}">
              <a16:creationId xmlns:a16="http://schemas.microsoft.com/office/drawing/2014/main" id="{073AAD62-2F3A-41C2-9558-C46318CD860C}"/>
            </a:ext>
          </a:extLst>
        </xdr:cNvPr>
        <xdr:cNvSpPr txBox="1"/>
      </xdr:nvSpPr>
      <xdr:spPr>
        <a:xfrm>
          <a:off x="6206628" y="16024328"/>
          <a:ext cx="2482445" cy="965161"/>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rgbClr val="00B050"/>
              </a:solidFill>
              <a:effectLst/>
              <a:latin typeface="+mj-lt"/>
              <a:ea typeface="+mn-ea"/>
              <a:cs typeface="+mn-cs"/>
            </a:rPr>
            <a:t>Amount in the Sinking</a:t>
          </a:r>
          <a:r>
            <a:rPr lang="en-US" sz="1200" b="1" baseline="0">
              <a:solidFill>
                <a:srgbClr val="00B050"/>
              </a:solidFill>
              <a:effectLst/>
              <a:latin typeface="+mj-lt"/>
              <a:ea typeface="+mn-ea"/>
              <a:cs typeface="+mn-cs"/>
            </a:rPr>
            <a:t> Fund </a:t>
          </a:r>
          <a:r>
            <a:rPr lang="en-US" sz="1200" b="1">
              <a:solidFill>
                <a:schemeClr val="dk1"/>
              </a:solidFill>
              <a:effectLst/>
              <a:latin typeface="+mj-lt"/>
              <a:ea typeface="+mn-ea"/>
              <a:cs typeface="+mn-cs"/>
            </a:rPr>
            <a:t>– </a:t>
          </a:r>
          <a:r>
            <a:rPr lang="en-US" sz="1200" b="0" baseline="0">
              <a:solidFill>
                <a:schemeClr val="dk1"/>
              </a:solidFill>
              <a:effectLst/>
              <a:latin typeface="+mj-lt"/>
              <a:ea typeface="+mn-ea"/>
              <a:cs typeface="+mn-cs"/>
            </a:rPr>
            <a:t> the total amount of the sinking fund that was accumulated during this period.</a:t>
          </a:r>
          <a:endParaRPr lang="en-US" sz="1200" b="0">
            <a:solidFill>
              <a:schemeClr val="dk1"/>
            </a:solidFill>
            <a:effectLst/>
            <a:latin typeface="+mj-lt"/>
            <a:ea typeface="+mn-ea"/>
            <a:cs typeface="+mn-cs"/>
          </a:endParaRPr>
        </a:p>
      </xdr:txBody>
    </xdr:sp>
    <xdr:clientData/>
  </xdr:twoCellAnchor>
  <xdr:twoCellAnchor>
    <xdr:from>
      <xdr:col>5</xdr:col>
      <xdr:colOff>1217860</xdr:colOff>
      <xdr:row>85</xdr:row>
      <xdr:rowOff>73428</xdr:rowOff>
    </xdr:from>
    <xdr:to>
      <xdr:col>7</xdr:col>
      <xdr:colOff>1170992</xdr:colOff>
      <xdr:row>90</xdr:row>
      <xdr:rowOff>101083</xdr:rowOff>
    </xdr:to>
    <xdr:sp macro="" textlink="">
      <xdr:nvSpPr>
        <xdr:cNvPr id="59" name="TextBox 58">
          <a:extLst>
            <a:ext uri="{FF2B5EF4-FFF2-40B4-BE49-F238E27FC236}">
              <a16:creationId xmlns:a16="http://schemas.microsoft.com/office/drawing/2014/main" id="{71A87A44-7F57-4A3B-9652-0F88AF7273A3}"/>
            </a:ext>
          </a:extLst>
        </xdr:cNvPr>
        <xdr:cNvSpPr txBox="1"/>
      </xdr:nvSpPr>
      <xdr:spPr>
        <a:xfrm>
          <a:off x="8666799" y="16028775"/>
          <a:ext cx="2464622" cy="960716"/>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solidFill>
              <a:schemeClr val="dk1"/>
            </a:solidFill>
            <a:effectLst/>
            <a:latin typeface="+mj-lt"/>
            <a:ea typeface="+mn-ea"/>
            <a:cs typeface="+mn-cs"/>
          </a:endParaRPr>
        </a:p>
      </xdr:txBody>
    </xdr:sp>
    <xdr:clientData/>
  </xdr:twoCellAnchor>
  <xdr:twoCellAnchor>
    <xdr:from>
      <xdr:col>5</xdr:col>
      <xdr:colOff>1217860</xdr:colOff>
      <xdr:row>90</xdr:row>
      <xdr:rowOff>104530</xdr:rowOff>
    </xdr:from>
    <xdr:to>
      <xdr:col>7</xdr:col>
      <xdr:colOff>1170992</xdr:colOff>
      <xdr:row>94</xdr:row>
      <xdr:rowOff>116633</xdr:rowOff>
    </xdr:to>
    <xdr:sp macro="" textlink="">
      <xdr:nvSpPr>
        <xdr:cNvPr id="60" name="TextBox 59">
          <a:extLst>
            <a:ext uri="{FF2B5EF4-FFF2-40B4-BE49-F238E27FC236}">
              <a16:creationId xmlns:a16="http://schemas.microsoft.com/office/drawing/2014/main" id="{385A1503-D213-4F15-B829-ACCADC35F35C}"/>
            </a:ext>
          </a:extLst>
        </xdr:cNvPr>
        <xdr:cNvSpPr txBox="1"/>
      </xdr:nvSpPr>
      <xdr:spPr>
        <a:xfrm>
          <a:off x="8666799" y="16992938"/>
          <a:ext cx="2464622" cy="758552"/>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solidFill>
              <a:schemeClr val="dk1"/>
            </a:solidFill>
            <a:effectLst/>
            <a:latin typeface="+mj-lt"/>
            <a:ea typeface="+mn-ea"/>
            <a:cs typeface="+mn-cs"/>
          </a:endParaRPr>
        </a:p>
      </xdr:txBody>
    </xdr:sp>
    <xdr:clientData/>
  </xdr:twoCellAnchor>
  <xdr:twoCellAnchor>
    <xdr:from>
      <xdr:col>2</xdr:col>
      <xdr:colOff>17322</xdr:colOff>
      <xdr:row>90</xdr:row>
      <xdr:rowOff>101419</xdr:rowOff>
    </xdr:from>
    <xdr:to>
      <xdr:col>4</xdr:col>
      <xdr:colOff>1556</xdr:colOff>
      <xdr:row>94</xdr:row>
      <xdr:rowOff>113522</xdr:rowOff>
    </xdr:to>
    <xdr:sp macro="" textlink="">
      <xdr:nvSpPr>
        <xdr:cNvPr id="61" name="TextBox 60">
          <a:extLst>
            <a:ext uri="{FF2B5EF4-FFF2-40B4-BE49-F238E27FC236}">
              <a16:creationId xmlns:a16="http://schemas.microsoft.com/office/drawing/2014/main" id="{AF0785AA-54DD-412D-8D0C-A6C6AF6C1B02}"/>
            </a:ext>
          </a:extLst>
        </xdr:cNvPr>
        <xdr:cNvSpPr txBox="1"/>
      </xdr:nvSpPr>
      <xdr:spPr>
        <a:xfrm>
          <a:off x="3741791" y="16989827"/>
          <a:ext cx="2464622" cy="758552"/>
        </a:xfrm>
        <a:prstGeom prst="rect">
          <a:avLst/>
        </a:prstGeom>
        <a:solidFill>
          <a:schemeClr val="lt1"/>
        </a:solidFill>
        <a:ln w="9525" cmpd="sng">
          <a:solidFill>
            <a:srgbClr val="00B05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200" b="1">
            <a:solidFill>
              <a:schemeClr val="dk1"/>
            </a:solidFill>
            <a:effectLst/>
            <a:latin typeface="+mj-lt"/>
            <a:ea typeface="+mn-ea"/>
            <a:cs typeface="+mn-cs"/>
          </a:endParaRPr>
        </a:p>
      </xdr:txBody>
    </xdr:sp>
    <xdr:clientData/>
  </xdr:twoCellAnchor>
  <xdr:twoCellAnchor editAs="oneCell">
    <xdr:from>
      <xdr:col>3</xdr:col>
      <xdr:colOff>178837</xdr:colOff>
      <xdr:row>10</xdr:row>
      <xdr:rowOff>108858</xdr:rowOff>
    </xdr:from>
    <xdr:to>
      <xdr:col>7</xdr:col>
      <xdr:colOff>101081</xdr:colOff>
      <xdr:row>12</xdr:row>
      <xdr:rowOff>33207</xdr:rowOff>
    </xdr:to>
    <xdr:pic>
      <xdr:nvPicPr>
        <xdr:cNvPr id="62" name="Picture 61">
          <a:extLst>
            <a:ext uri="{FF2B5EF4-FFF2-40B4-BE49-F238E27FC236}">
              <a16:creationId xmlns:a16="http://schemas.microsoft.com/office/drawing/2014/main" id="{07E025FE-885B-4C10-B7A2-016AEA1D0E59}"/>
            </a:ext>
          </a:extLst>
        </xdr:cNvPr>
        <xdr:cNvPicPr>
          <a:picLocks noChangeAspect="1"/>
        </xdr:cNvPicPr>
      </xdr:nvPicPr>
      <xdr:blipFill rotWithShape="1">
        <a:blip xmlns:r="http://schemas.openxmlformats.org/officeDocument/2006/relationships" r:embed="rId3"/>
        <a:srcRect l="9233" t="-2684"/>
        <a:stretch/>
      </xdr:blipFill>
      <xdr:spPr>
        <a:xfrm>
          <a:off x="5092959" y="1974980"/>
          <a:ext cx="4968551" cy="2975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259080</xdr:colOff>
      <xdr:row>5</xdr:row>
      <xdr:rowOff>7620</xdr:rowOff>
    </xdr:from>
    <xdr:to>
      <xdr:col>4</xdr:col>
      <xdr:colOff>1675001</xdr:colOff>
      <xdr:row>6</xdr:row>
      <xdr:rowOff>128295</xdr:rowOff>
    </xdr:to>
    <xdr:sp macro="[0]!Loan" textlink="">
      <xdr:nvSpPr>
        <xdr:cNvPr id="3" name="Rectangle 2">
          <a:extLst>
            <a:ext uri="{FF2B5EF4-FFF2-40B4-BE49-F238E27FC236}">
              <a16:creationId xmlns:a16="http://schemas.microsoft.com/office/drawing/2014/main" id="{983FE29F-E6F6-4FBB-BA16-F8F69C72DEA7}"/>
            </a:ext>
          </a:extLst>
        </xdr:cNvPr>
        <xdr:cNvSpPr/>
      </xdr:nvSpPr>
      <xdr:spPr>
        <a:xfrm>
          <a:off x="3688080" y="922020"/>
          <a:ext cx="2978021"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GENERATE</a:t>
          </a:r>
          <a:r>
            <a:rPr lang="en-PH" sz="1400" b="1" baseline="0">
              <a:latin typeface="+mj-lt"/>
            </a:rPr>
            <a:t> TABLE</a:t>
          </a:r>
          <a:endParaRPr lang="en-PH" sz="1400" b="1">
            <a:latin typeface="+mj-lt"/>
          </a:endParaRPr>
        </a:p>
      </xdr:txBody>
    </xdr:sp>
    <xdr:clientData/>
  </xdr:twoCellAnchor>
  <xdr:twoCellAnchor>
    <xdr:from>
      <xdr:col>3</xdr:col>
      <xdr:colOff>251460</xdr:colOff>
      <xdr:row>7</xdr:row>
      <xdr:rowOff>7620</xdr:rowOff>
    </xdr:from>
    <xdr:to>
      <xdr:col>4</xdr:col>
      <xdr:colOff>1667381</xdr:colOff>
      <xdr:row>8</xdr:row>
      <xdr:rowOff>128295</xdr:rowOff>
    </xdr:to>
    <xdr:sp macro="[0]!Loan_Clear" textlink="">
      <xdr:nvSpPr>
        <xdr:cNvPr id="5" name="Rectangle 4">
          <a:extLst>
            <a:ext uri="{FF2B5EF4-FFF2-40B4-BE49-F238E27FC236}">
              <a16:creationId xmlns:a16="http://schemas.microsoft.com/office/drawing/2014/main" id="{B535A84D-C7C9-4725-9545-EDFDA17BC8F1}"/>
            </a:ext>
          </a:extLst>
        </xdr:cNvPr>
        <xdr:cNvSpPr/>
      </xdr:nvSpPr>
      <xdr:spPr>
        <a:xfrm>
          <a:off x="4046220" y="1318260"/>
          <a:ext cx="2978021"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CLEAR VALUES</a:t>
          </a:r>
        </a:p>
      </xdr:txBody>
    </xdr:sp>
    <xdr:clientData/>
  </xdr:twoCellAnchor>
  <xdr:twoCellAnchor>
    <xdr:from>
      <xdr:col>3</xdr:col>
      <xdr:colOff>259080</xdr:colOff>
      <xdr:row>9</xdr:row>
      <xdr:rowOff>7620</xdr:rowOff>
    </xdr:from>
    <xdr:to>
      <xdr:col>4</xdr:col>
      <xdr:colOff>1668780</xdr:colOff>
      <xdr:row>10</xdr:row>
      <xdr:rowOff>128295</xdr:rowOff>
    </xdr:to>
    <xdr:sp macro="[0]!User" textlink="">
      <xdr:nvSpPr>
        <xdr:cNvPr id="6" name="Rectangle 5">
          <a:extLst>
            <a:ext uri="{FF2B5EF4-FFF2-40B4-BE49-F238E27FC236}">
              <a16:creationId xmlns:a16="http://schemas.microsoft.com/office/drawing/2014/main" id="{250233CD-1322-492A-B261-56C0188A9B88}"/>
            </a:ext>
          </a:extLst>
        </xdr:cNvPr>
        <xdr:cNvSpPr/>
      </xdr:nvSpPr>
      <xdr:spPr>
        <a:xfrm>
          <a:off x="4053840" y="1714500"/>
          <a:ext cx="2971800"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USER GUIDE</a:t>
          </a:r>
        </a:p>
      </xdr:txBody>
    </xdr:sp>
    <xdr:clientData/>
  </xdr:twoCellAnchor>
  <xdr:twoCellAnchor editAs="oneCell">
    <xdr:from>
      <xdr:col>0</xdr:col>
      <xdr:colOff>640080</xdr:colOff>
      <xdr:row>0</xdr:row>
      <xdr:rowOff>91440</xdr:rowOff>
    </xdr:from>
    <xdr:to>
      <xdr:col>3</xdr:col>
      <xdr:colOff>1356360</xdr:colOff>
      <xdr:row>4</xdr:row>
      <xdr:rowOff>161376</xdr:rowOff>
    </xdr:to>
    <xdr:pic>
      <xdr:nvPicPr>
        <xdr:cNvPr id="7" name="Picture 6">
          <a:extLst>
            <a:ext uri="{FF2B5EF4-FFF2-40B4-BE49-F238E27FC236}">
              <a16:creationId xmlns:a16="http://schemas.microsoft.com/office/drawing/2014/main" id="{DC4E6699-6763-4CD2-987C-980F4C9EBF05}"/>
            </a:ext>
          </a:extLst>
        </xdr:cNvPr>
        <xdr:cNvPicPr>
          <a:picLocks noChangeAspect="1"/>
        </xdr:cNvPicPr>
      </xdr:nvPicPr>
      <xdr:blipFill>
        <a:blip xmlns:r="http://schemas.openxmlformats.org/officeDocument/2006/relationships" r:embed="rId1"/>
        <a:stretch>
          <a:fillRect/>
        </a:stretch>
      </xdr:blipFill>
      <xdr:spPr>
        <a:xfrm>
          <a:off x="640080" y="91440"/>
          <a:ext cx="4617720" cy="8014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167641</xdr:colOff>
      <xdr:row>0</xdr:row>
      <xdr:rowOff>160020</xdr:rowOff>
    </xdr:from>
    <xdr:to>
      <xdr:col>4</xdr:col>
      <xdr:colOff>693420</xdr:colOff>
      <xdr:row>4</xdr:row>
      <xdr:rowOff>124412</xdr:rowOff>
    </xdr:to>
    <xdr:pic>
      <xdr:nvPicPr>
        <xdr:cNvPr id="2" name="Picture 1">
          <a:extLst>
            <a:ext uri="{FF2B5EF4-FFF2-40B4-BE49-F238E27FC236}">
              <a16:creationId xmlns:a16="http://schemas.microsoft.com/office/drawing/2014/main" id="{65064199-9F06-436F-A9AD-AF42265B8988}"/>
            </a:ext>
          </a:extLst>
        </xdr:cNvPr>
        <xdr:cNvPicPr>
          <a:picLocks noChangeAspect="1"/>
        </xdr:cNvPicPr>
      </xdr:nvPicPr>
      <xdr:blipFill>
        <a:blip xmlns:r="http://schemas.openxmlformats.org/officeDocument/2006/relationships" r:embed="rId1"/>
        <a:stretch>
          <a:fillRect/>
        </a:stretch>
      </xdr:blipFill>
      <xdr:spPr>
        <a:xfrm>
          <a:off x="472441" y="160020"/>
          <a:ext cx="5562599" cy="695912"/>
        </a:xfrm>
        <a:prstGeom prst="rect">
          <a:avLst/>
        </a:prstGeom>
      </xdr:spPr>
    </xdr:pic>
    <xdr:clientData/>
  </xdr:twoCellAnchor>
  <xdr:twoCellAnchor>
    <xdr:from>
      <xdr:col>3</xdr:col>
      <xdr:colOff>259080</xdr:colOff>
      <xdr:row>5</xdr:row>
      <xdr:rowOff>7620</xdr:rowOff>
    </xdr:from>
    <xdr:to>
      <xdr:col>4</xdr:col>
      <xdr:colOff>1675001</xdr:colOff>
      <xdr:row>6</xdr:row>
      <xdr:rowOff>128295</xdr:rowOff>
    </xdr:to>
    <xdr:sp macro="[0]!SF" textlink="">
      <xdr:nvSpPr>
        <xdr:cNvPr id="6" name="Rectangle 5">
          <a:extLst>
            <a:ext uri="{FF2B5EF4-FFF2-40B4-BE49-F238E27FC236}">
              <a16:creationId xmlns:a16="http://schemas.microsoft.com/office/drawing/2014/main" id="{872F01CB-0865-4A72-96AE-084289ADAD1B}"/>
            </a:ext>
          </a:extLst>
        </xdr:cNvPr>
        <xdr:cNvSpPr/>
      </xdr:nvSpPr>
      <xdr:spPr>
        <a:xfrm>
          <a:off x="3688080" y="922020"/>
          <a:ext cx="2978021"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GENERATE</a:t>
          </a:r>
          <a:r>
            <a:rPr lang="en-PH" sz="1400" b="1" baseline="0">
              <a:latin typeface="+mj-lt"/>
            </a:rPr>
            <a:t> TABLE</a:t>
          </a:r>
          <a:endParaRPr lang="en-PH" sz="1400" b="1">
            <a:latin typeface="+mj-lt"/>
          </a:endParaRPr>
        </a:p>
      </xdr:txBody>
    </xdr:sp>
    <xdr:clientData/>
  </xdr:twoCellAnchor>
  <xdr:twoCellAnchor>
    <xdr:from>
      <xdr:col>3</xdr:col>
      <xdr:colOff>259080</xdr:colOff>
      <xdr:row>7</xdr:row>
      <xdr:rowOff>7620</xdr:rowOff>
    </xdr:from>
    <xdr:to>
      <xdr:col>4</xdr:col>
      <xdr:colOff>1676400</xdr:colOff>
      <xdr:row>8</xdr:row>
      <xdr:rowOff>128295</xdr:rowOff>
    </xdr:to>
    <xdr:sp macro="[0]!SF_Clear" textlink="">
      <xdr:nvSpPr>
        <xdr:cNvPr id="4" name="Rectangle 3">
          <a:extLst>
            <a:ext uri="{FF2B5EF4-FFF2-40B4-BE49-F238E27FC236}">
              <a16:creationId xmlns:a16="http://schemas.microsoft.com/office/drawing/2014/main" id="{194B8A8E-4926-4D67-81BD-DFA75639BA2C}"/>
            </a:ext>
          </a:extLst>
        </xdr:cNvPr>
        <xdr:cNvSpPr/>
      </xdr:nvSpPr>
      <xdr:spPr>
        <a:xfrm>
          <a:off x="3817620" y="1318260"/>
          <a:ext cx="3162300"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CLEAR VALUES</a:t>
          </a:r>
        </a:p>
      </xdr:txBody>
    </xdr:sp>
    <xdr:clientData/>
  </xdr:twoCellAnchor>
  <xdr:twoCellAnchor>
    <xdr:from>
      <xdr:col>3</xdr:col>
      <xdr:colOff>266700</xdr:colOff>
      <xdr:row>9</xdr:row>
      <xdr:rowOff>7620</xdr:rowOff>
    </xdr:from>
    <xdr:to>
      <xdr:col>4</xdr:col>
      <xdr:colOff>1676400</xdr:colOff>
      <xdr:row>10</xdr:row>
      <xdr:rowOff>128295</xdr:rowOff>
    </xdr:to>
    <xdr:sp macro="[0]!User" textlink="">
      <xdr:nvSpPr>
        <xdr:cNvPr id="5" name="Rectangle 4">
          <a:extLst>
            <a:ext uri="{FF2B5EF4-FFF2-40B4-BE49-F238E27FC236}">
              <a16:creationId xmlns:a16="http://schemas.microsoft.com/office/drawing/2014/main" id="{C45ECABF-CA81-4E9B-B4C4-BB879622250F}"/>
            </a:ext>
          </a:extLst>
        </xdr:cNvPr>
        <xdr:cNvSpPr/>
      </xdr:nvSpPr>
      <xdr:spPr>
        <a:xfrm>
          <a:off x="3825240" y="1714500"/>
          <a:ext cx="3154680"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USER GUIDE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259080</xdr:colOff>
      <xdr:row>5</xdr:row>
      <xdr:rowOff>7620</xdr:rowOff>
    </xdr:from>
    <xdr:to>
      <xdr:col>4</xdr:col>
      <xdr:colOff>1675001</xdr:colOff>
      <xdr:row>6</xdr:row>
      <xdr:rowOff>128295</xdr:rowOff>
    </xdr:to>
    <xdr:sp macro="[0]!Bond" textlink="">
      <xdr:nvSpPr>
        <xdr:cNvPr id="2" name="Rectangle 1">
          <a:extLst>
            <a:ext uri="{FF2B5EF4-FFF2-40B4-BE49-F238E27FC236}">
              <a16:creationId xmlns:a16="http://schemas.microsoft.com/office/drawing/2014/main" id="{5EB118D7-03F7-47F3-8FA5-9078090CF239}"/>
            </a:ext>
          </a:extLst>
        </xdr:cNvPr>
        <xdr:cNvSpPr/>
      </xdr:nvSpPr>
      <xdr:spPr>
        <a:xfrm>
          <a:off x="4053840" y="922020"/>
          <a:ext cx="2978021"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GENERATE</a:t>
          </a:r>
          <a:r>
            <a:rPr lang="en-PH" sz="1400" b="1" baseline="0">
              <a:latin typeface="+mj-lt"/>
            </a:rPr>
            <a:t> TABLE</a:t>
          </a:r>
          <a:endParaRPr lang="en-PH" sz="1400" b="1">
            <a:latin typeface="+mj-lt"/>
          </a:endParaRPr>
        </a:p>
      </xdr:txBody>
    </xdr:sp>
    <xdr:clientData/>
  </xdr:twoCellAnchor>
  <xdr:twoCellAnchor editAs="oneCell">
    <xdr:from>
      <xdr:col>0</xdr:col>
      <xdr:colOff>662941</xdr:colOff>
      <xdr:row>0</xdr:row>
      <xdr:rowOff>175261</xdr:rowOff>
    </xdr:from>
    <xdr:to>
      <xdr:col>3</xdr:col>
      <xdr:colOff>1280161</xdr:colOff>
      <xdr:row>4</xdr:row>
      <xdr:rowOff>82683</xdr:rowOff>
    </xdr:to>
    <xdr:pic>
      <xdr:nvPicPr>
        <xdr:cNvPr id="4" name="Picture 3">
          <a:extLst>
            <a:ext uri="{FF2B5EF4-FFF2-40B4-BE49-F238E27FC236}">
              <a16:creationId xmlns:a16="http://schemas.microsoft.com/office/drawing/2014/main" id="{30F61200-0401-4CBE-B675-543537971DD2}"/>
            </a:ext>
          </a:extLst>
        </xdr:cNvPr>
        <xdr:cNvPicPr>
          <a:picLocks noChangeAspect="1"/>
        </xdr:cNvPicPr>
      </xdr:nvPicPr>
      <xdr:blipFill>
        <a:blip xmlns:r="http://schemas.openxmlformats.org/officeDocument/2006/relationships" r:embed="rId1"/>
        <a:stretch>
          <a:fillRect/>
        </a:stretch>
      </xdr:blipFill>
      <xdr:spPr>
        <a:xfrm>
          <a:off x="662941" y="175261"/>
          <a:ext cx="4770120" cy="638942"/>
        </a:xfrm>
        <a:prstGeom prst="rect">
          <a:avLst/>
        </a:prstGeom>
      </xdr:spPr>
    </xdr:pic>
    <xdr:clientData/>
  </xdr:twoCellAnchor>
  <xdr:twoCellAnchor>
    <xdr:from>
      <xdr:col>3</xdr:col>
      <xdr:colOff>266701</xdr:colOff>
      <xdr:row>7</xdr:row>
      <xdr:rowOff>7620</xdr:rowOff>
    </xdr:from>
    <xdr:to>
      <xdr:col>4</xdr:col>
      <xdr:colOff>1676401</xdr:colOff>
      <xdr:row>8</xdr:row>
      <xdr:rowOff>128295</xdr:rowOff>
    </xdr:to>
    <xdr:sp macro="[0]!Bond_Clear" textlink="">
      <xdr:nvSpPr>
        <xdr:cNvPr id="5" name="Rectangle 4">
          <a:extLst>
            <a:ext uri="{FF2B5EF4-FFF2-40B4-BE49-F238E27FC236}">
              <a16:creationId xmlns:a16="http://schemas.microsoft.com/office/drawing/2014/main" id="{CD2B128F-C18C-43CC-A6B3-E967D17A0990}"/>
            </a:ext>
          </a:extLst>
        </xdr:cNvPr>
        <xdr:cNvSpPr/>
      </xdr:nvSpPr>
      <xdr:spPr>
        <a:xfrm>
          <a:off x="4312921" y="1318260"/>
          <a:ext cx="2971800"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CLEAR VALUES</a:t>
          </a:r>
        </a:p>
      </xdr:txBody>
    </xdr:sp>
    <xdr:clientData/>
  </xdr:twoCellAnchor>
  <xdr:twoCellAnchor>
    <xdr:from>
      <xdr:col>3</xdr:col>
      <xdr:colOff>274321</xdr:colOff>
      <xdr:row>9</xdr:row>
      <xdr:rowOff>7620</xdr:rowOff>
    </xdr:from>
    <xdr:to>
      <xdr:col>4</xdr:col>
      <xdr:colOff>1684021</xdr:colOff>
      <xdr:row>10</xdr:row>
      <xdr:rowOff>128295</xdr:rowOff>
    </xdr:to>
    <xdr:sp macro="[0]!User" textlink="">
      <xdr:nvSpPr>
        <xdr:cNvPr id="6" name="Rectangle 5">
          <a:extLst>
            <a:ext uri="{FF2B5EF4-FFF2-40B4-BE49-F238E27FC236}">
              <a16:creationId xmlns:a16="http://schemas.microsoft.com/office/drawing/2014/main" id="{5D8303F8-A344-4B0C-92B3-5BCA78E60A42}"/>
            </a:ext>
          </a:extLst>
        </xdr:cNvPr>
        <xdr:cNvSpPr/>
      </xdr:nvSpPr>
      <xdr:spPr>
        <a:xfrm>
          <a:off x="4320541" y="1714500"/>
          <a:ext cx="2971800" cy="318795"/>
        </a:xfrm>
        <a:prstGeom prst="rect">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PH" sz="1400" b="1">
              <a:latin typeface="+mj-lt"/>
            </a:rPr>
            <a:t>USER GUIDE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DC862-91C6-40AA-BBF2-15486933C66D}">
  <sheetPr codeName="Sheet6"/>
  <dimension ref="A1:M76"/>
  <sheetViews>
    <sheetView topLeftCell="A40" zoomScale="98" zoomScaleNormal="98" workbookViewId="0">
      <selection activeCell="C17" sqref="C17:H25"/>
    </sheetView>
  </sheetViews>
  <sheetFormatPr defaultRowHeight="14.4" x14ac:dyDescent="0.3"/>
  <cols>
    <col min="1" max="1" width="21.109375" style="31" customWidth="1"/>
    <col min="2" max="2" width="33.21875" style="31" customWidth="1"/>
    <col min="3" max="3" width="17.33203125" style="25" customWidth="1"/>
    <col min="4" max="4" width="18.77734375" style="25" customWidth="1"/>
    <col min="5" max="5" width="18.109375" style="25" customWidth="1"/>
    <col min="6" max="6" width="17.77734375" style="25" customWidth="1"/>
    <col min="7" max="7" width="18.77734375" style="25" customWidth="1"/>
    <col min="8" max="8" width="17.33203125" style="25" customWidth="1"/>
    <col min="9" max="16384" width="8.88671875" style="25"/>
  </cols>
  <sheetData>
    <row r="1" spans="3:8" x14ac:dyDescent="0.3">
      <c r="C1" s="24"/>
      <c r="H1" s="26"/>
    </row>
    <row r="2" spans="3:8" x14ac:dyDescent="0.3">
      <c r="C2" s="24"/>
      <c r="H2" s="26"/>
    </row>
    <row r="3" spans="3:8" x14ac:dyDescent="0.3">
      <c r="C3" s="24"/>
      <c r="H3" s="26"/>
    </row>
    <row r="4" spans="3:8" x14ac:dyDescent="0.3">
      <c r="C4" s="24"/>
      <c r="H4" s="26"/>
    </row>
    <row r="5" spans="3:8" x14ac:dyDescent="0.3">
      <c r="C5" s="24"/>
      <c r="H5" s="26"/>
    </row>
    <row r="6" spans="3:8" x14ac:dyDescent="0.3">
      <c r="C6" s="24"/>
      <c r="H6" s="26"/>
    </row>
    <row r="7" spans="3:8" x14ac:dyDescent="0.3">
      <c r="C7" s="24"/>
      <c r="H7" s="26"/>
    </row>
    <row r="8" spans="3:8" x14ac:dyDescent="0.3">
      <c r="C8" s="24"/>
      <c r="H8" s="26"/>
    </row>
    <row r="9" spans="3:8" x14ac:dyDescent="0.3">
      <c r="C9" s="24"/>
      <c r="H9" s="26"/>
    </row>
    <row r="10" spans="3:8" x14ac:dyDescent="0.3">
      <c r="C10" s="24"/>
      <c r="H10" s="26"/>
    </row>
    <row r="11" spans="3:8" x14ac:dyDescent="0.3">
      <c r="C11" s="24"/>
      <c r="H11" s="26"/>
    </row>
    <row r="12" spans="3:8" x14ac:dyDescent="0.3">
      <c r="C12" s="24"/>
      <c r="H12" s="26"/>
    </row>
    <row r="13" spans="3:8" x14ac:dyDescent="0.3">
      <c r="C13" s="27"/>
      <c r="D13"/>
      <c r="E13"/>
      <c r="F13"/>
      <c r="G13"/>
      <c r="H13" s="28"/>
    </row>
    <row r="14" spans="3:8" x14ac:dyDescent="0.3">
      <c r="C14" s="27"/>
      <c r="D14"/>
      <c r="E14"/>
      <c r="F14"/>
      <c r="G14"/>
      <c r="H14" s="28"/>
    </row>
    <row r="15" spans="3:8" x14ac:dyDescent="0.3">
      <c r="C15" s="27"/>
      <c r="D15"/>
      <c r="E15"/>
      <c r="F15"/>
      <c r="G15"/>
      <c r="H15" s="28"/>
    </row>
    <row r="16" spans="3:8" x14ac:dyDescent="0.3">
      <c r="C16" s="27"/>
      <c r="D16"/>
      <c r="E16"/>
      <c r="F16"/>
      <c r="G16"/>
      <c r="H16" s="28"/>
    </row>
    <row r="17" spans="3:13" ht="15.6" customHeight="1" x14ac:dyDescent="0.3">
      <c r="C17" s="59" t="s">
        <v>62</v>
      </c>
      <c r="D17" s="60"/>
      <c r="E17" s="60"/>
      <c r="F17" s="60"/>
      <c r="G17" s="60"/>
      <c r="H17" s="61"/>
    </row>
    <row r="18" spans="3:13" ht="15.6" customHeight="1" x14ac:dyDescent="0.3">
      <c r="C18" s="62" t="s">
        <v>71</v>
      </c>
      <c r="D18" s="63"/>
      <c r="E18" s="63"/>
      <c r="F18" s="63"/>
      <c r="G18" s="63"/>
      <c r="H18" s="64"/>
    </row>
    <row r="19" spans="3:13" ht="15.6" customHeight="1" x14ac:dyDescent="0.3">
      <c r="C19" s="56" t="s">
        <v>54</v>
      </c>
      <c r="D19" s="57"/>
      <c r="E19" s="57"/>
      <c r="F19" s="57"/>
      <c r="G19" s="57"/>
      <c r="H19" s="58"/>
    </row>
    <row r="20" spans="3:13" ht="15.6" x14ac:dyDescent="0.3">
      <c r="C20" s="65" t="s">
        <v>55</v>
      </c>
      <c r="D20" s="66"/>
      <c r="E20" s="66"/>
      <c r="F20" s="66"/>
      <c r="G20" s="66"/>
      <c r="H20" s="67"/>
    </row>
    <row r="21" spans="3:13" ht="15.6" x14ac:dyDescent="0.3">
      <c r="C21" s="68" t="s">
        <v>56</v>
      </c>
      <c r="D21" s="69"/>
      <c r="E21" s="69"/>
      <c r="F21" s="69"/>
      <c r="G21" s="69"/>
      <c r="H21" s="70"/>
    </row>
    <row r="22" spans="3:13" ht="15.6" x14ac:dyDescent="0.3">
      <c r="C22" s="56" t="s">
        <v>61</v>
      </c>
      <c r="D22" s="57"/>
      <c r="E22" s="57"/>
      <c r="F22" s="57"/>
      <c r="G22" s="57"/>
      <c r="H22" s="58"/>
    </row>
    <row r="23" spans="3:13" ht="15.6" x14ac:dyDescent="0.3">
      <c r="C23" s="65" t="s">
        <v>57</v>
      </c>
      <c r="D23" s="66"/>
      <c r="E23" s="66"/>
      <c r="F23" s="66"/>
      <c r="G23" s="66"/>
      <c r="H23" s="67"/>
      <c r="J23" s="74"/>
      <c r="K23" s="74"/>
      <c r="L23" s="74"/>
      <c r="M23" s="74"/>
    </row>
    <row r="24" spans="3:13" ht="15.6" x14ac:dyDescent="0.3">
      <c r="C24" s="65" t="s">
        <v>58</v>
      </c>
      <c r="D24" s="66"/>
      <c r="E24" s="66"/>
      <c r="F24" s="66"/>
      <c r="G24" s="66"/>
      <c r="H24" s="67"/>
      <c r="J24" s="74"/>
      <c r="K24" s="74"/>
      <c r="L24" s="74"/>
      <c r="M24" s="74"/>
    </row>
    <row r="25" spans="3:13" ht="15.6" x14ac:dyDescent="0.3">
      <c r="C25" s="62" t="s">
        <v>77</v>
      </c>
      <c r="D25" s="63"/>
      <c r="E25" s="63"/>
      <c r="F25" s="63"/>
      <c r="G25" s="63"/>
      <c r="H25" s="64"/>
      <c r="J25" s="74"/>
      <c r="K25" s="74"/>
      <c r="L25" s="74"/>
      <c r="M25" s="74"/>
    </row>
    <row r="26" spans="3:13" ht="15.6" x14ac:dyDescent="0.3">
      <c r="C26" s="56" t="s">
        <v>78</v>
      </c>
      <c r="D26" s="57"/>
      <c r="E26" s="57"/>
      <c r="F26" s="57"/>
      <c r="G26" s="57"/>
      <c r="H26" s="58"/>
      <c r="J26" s="74"/>
      <c r="K26" s="74"/>
      <c r="L26" s="74"/>
      <c r="M26" s="74"/>
    </row>
    <row r="27" spans="3:13" ht="15.6" x14ac:dyDescent="0.3">
      <c r="C27" s="62" t="s">
        <v>25</v>
      </c>
      <c r="D27" s="63"/>
      <c r="E27" s="63"/>
      <c r="F27" s="63"/>
      <c r="G27" s="63"/>
      <c r="H27" s="64"/>
    </row>
    <row r="28" spans="3:13" ht="15.6" x14ac:dyDescent="0.3">
      <c r="C28" s="56" t="s">
        <v>40</v>
      </c>
      <c r="D28" s="57"/>
      <c r="E28" s="57"/>
      <c r="F28" s="57"/>
      <c r="G28" s="57"/>
      <c r="H28" s="58"/>
    </row>
    <row r="29" spans="3:13" x14ac:dyDescent="0.3">
      <c r="C29" s="29"/>
      <c r="D29"/>
      <c r="E29"/>
      <c r="F29"/>
      <c r="G29"/>
      <c r="H29" s="30"/>
    </row>
    <row r="30" spans="3:13" x14ac:dyDescent="0.3">
      <c r="C30" s="75" t="s">
        <v>26</v>
      </c>
      <c r="D30" s="76"/>
      <c r="E30" s="76"/>
      <c r="F30" s="76"/>
      <c r="G30" s="76"/>
      <c r="H30" s="77"/>
    </row>
    <row r="31" spans="3:13" x14ac:dyDescent="0.3">
      <c r="C31" s="71" t="s">
        <v>52</v>
      </c>
      <c r="D31" s="72"/>
      <c r="E31" s="72" t="s">
        <v>27</v>
      </c>
      <c r="F31" s="72"/>
      <c r="G31" s="72" t="s">
        <v>28</v>
      </c>
      <c r="H31" s="73"/>
    </row>
    <row r="32" spans="3:13" x14ac:dyDescent="0.3">
      <c r="C32"/>
      <c r="D32"/>
      <c r="E32"/>
      <c r="F32"/>
      <c r="G32"/>
      <c r="H32"/>
    </row>
    <row r="33" spans="3:8" x14ac:dyDescent="0.3">
      <c r="C33"/>
      <c r="D33"/>
      <c r="E33"/>
      <c r="F33"/>
      <c r="G33"/>
      <c r="H33"/>
    </row>
    <row r="34" spans="3:8" x14ac:dyDescent="0.3">
      <c r="C34"/>
      <c r="D34"/>
      <c r="E34"/>
      <c r="F34"/>
      <c r="G34"/>
      <c r="H34"/>
    </row>
    <row r="35" spans="3:8" x14ac:dyDescent="0.3">
      <c r="C35"/>
      <c r="D35"/>
      <c r="E35"/>
      <c r="F35"/>
      <c r="G35"/>
      <c r="H35"/>
    </row>
    <row r="36" spans="3:8" x14ac:dyDescent="0.3">
      <c r="C36"/>
      <c r="D36"/>
      <c r="E36"/>
      <c r="F36"/>
      <c r="G36"/>
      <c r="H36"/>
    </row>
    <row r="37" spans="3:8" x14ac:dyDescent="0.3">
      <c r="C37"/>
      <c r="D37"/>
      <c r="E37"/>
      <c r="F37"/>
      <c r="G37"/>
      <c r="H37"/>
    </row>
    <row r="38" spans="3:8" x14ac:dyDescent="0.3">
      <c r="C38"/>
      <c r="D38"/>
      <c r="E38"/>
      <c r="F38"/>
      <c r="G38"/>
      <c r="H38"/>
    </row>
    <row r="39" spans="3:8" x14ac:dyDescent="0.3">
      <c r="C39"/>
      <c r="D39"/>
      <c r="E39"/>
      <c r="F39"/>
      <c r="G39"/>
      <c r="H39"/>
    </row>
    <row r="40" spans="3:8" x14ac:dyDescent="0.3">
      <c r="C40" s="78" t="s">
        <v>34</v>
      </c>
      <c r="D40" s="71"/>
      <c r="E40" s="78" t="s">
        <v>35</v>
      </c>
      <c r="F40" s="78"/>
      <c r="G40" s="73" t="s">
        <v>36</v>
      </c>
      <c r="H40" s="78"/>
    </row>
    <row r="41" spans="3:8" x14ac:dyDescent="0.3">
      <c r="C41" s="79"/>
      <c r="D41" s="80"/>
      <c r="E41" s="79"/>
      <c r="F41" s="79"/>
      <c r="G41" s="81"/>
      <c r="H41" s="79"/>
    </row>
    <row r="42" spans="3:8" x14ac:dyDescent="0.3">
      <c r="C42" s="43"/>
      <c r="D42" s="43"/>
      <c r="E42" s="43"/>
      <c r="F42" s="43"/>
      <c r="G42" s="43"/>
      <c r="H42" s="43"/>
    </row>
    <row r="43" spans="3:8" x14ac:dyDescent="0.3">
      <c r="C43"/>
      <c r="D43"/>
      <c r="E43"/>
      <c r="F43"/>
      <c r="G43"/>
      <c r="H43"/>
    </row>
    <row r="44" spans="3:8" x14ac:dyDescent="0.3">
      <c r="C44"/>
      <c r="D44"/>
      <c r="E44"/>
      <c r="F44"/>
      <c r="G44"/>
      <c r="H44"/>
    </row>
    <row r="45" spans="3:8" x14ac:dyDescent="0.3">
      <c r="C45"/>
      <c r="D45"/>
      <c r="E45"/>
      <c r="F45"/>
      <c r="G45"/>
      <c r="H45"/>
    </row>
    <row r="46" spans="3:8" x14ac:dyDescent="0.3">
      <c r="C46"/>
      <c r="D46"/>
      <c r="E46"/>
      <c r="F46"/>
      <c r="G46"/>
      <c r="H46"/>
    </row>
    <row r="47" spans="3:8" x14ac:dyDescent="0.3">
      <c r="C47"/>
      <c r="D47"/>
      <c r="E47"/>
      <c r="F47"/>
      <c r="G47"/>
      <c r="H47"/>
    </row>
    <row r="48" spans="3:8" x14ac:dyDescent="0.3">
      <c r="C48"/>
      <c r="D48"/>
      <c r="E48"/>
      <c r="F48"/>
      <c r="G48"/>
      <c r="H48"/>
    </row>
    <row r="49" spans="3:8" x14ac:dyDescent="0.3">
      <c r="C49"/>
      <c r="D49"/>
      <c r="E49"/>
      <c r="F49"/>
      <c r="G49"/>
      <c r="H49"/>
    </row>
    <row r="50" spans="3:8" x14ac:dyDescent="0.3">
      <c r="C50"/>
      <c r="D50"/>
      <c r="E50"/>
      <c r="F50"/>
      <c r="G50"/>
      <c r="H50"/>
    </row>
    <row r="51" spans="3:8" x14ac:dyDescent="0.3">
      <c r="C51"/>
      <c r="D51"/>
      <c r="E51"/>
      <c r="F51"/>
      <c r="G51"/>
      <c r="H51"/>
    </row>
    <row r="52" spans="3:8" x14ac:dyDescent="0.3">
      <c r="C52"/>
      <c r="D52"/>
      <c r="E52"/>
      <c r="F52"/>
      <c r="G52"/>
      <c r="H52"/>
    </row>
    <row r="53" spans="3:8" x14ac:dyDescent="0.3">
      <c r="C53"/>
      <c r="D53"/>
      <c r="E53"/>
      <c r="F53"/>
      <c r="G53"/>
      <c r="H53"/>
    </row>
    <row r="54" spans="3:8" x14ac:dyDescent="0.3">
      <c r="C54"/>
      <c r="D54"/>
      <c r="E54"/>
      <c r="F54"/>
      <c r="G54"/>
      <c r="H54"/>
    </row>
    <row r="55" spans="3:8" x14ac:dyDescent="0.3">
      <c r="C55"/>
      <c r="D55"/>
      <c r="E55"/>
      <c r="F55"/>
      <c r="G55"/>
      <c r="H55"/>
    </row>
    <row r="56" spans="3:8" x14ac:dyDescent="0.3">
      <c r="C56"/>
      <c r="D56"/>
      <c r="E56"/>
      <c r="F56"/>
      <c r="G56"/>
      <c r="H56"/>
    </row>
    <row r="57" spans="3:8" x14ac:dyDescent="0.3">
      <c r="C57"/>
      <c r="D57"/>
      <c r="E57"/>
      <c r="F57"/>
      <c r="G57"/>
      <c r="H57"/>
    </row>
    <row r="58" spans="3:8" x14ac:dyDescent="0.3">
      <c r="C58" s="78"/>
      <c r="D58" s="71"/>
      <c r="E58" s="78"/>
      <c r="F58" s="78"/>
      <c r="G58" s="73" t="s">
        <v>50</v>
      </c>
      <c r="H58" s="78"/>
    </row>
    <row r="59" spans="3:8" x14ac:dyDescent="0.3">
      <c r="C59" s="82"/>
      <c r="D59" s="82"/>
      <c r="E59" s="82"/>
      <c r="F59" s="82"/>
      <c r="G59" s="82"/>
      <c r="H59" s="82"/>
    </row>
    <row r="60" spans="3:8" x14ac:dyDescent="0.3">
      <c r="C60"/>
      <c r="D60"/>
      <c r="E60"/>
      <c r="F60"/>
      <c r="G60"/>
      <c r="H60"/>
    </row>
    <row r="61" spans="3:8" x14ac:dyDescent="0.3">
      <c r="C61"/>
      <c r="D61"/>
      <c r="E61"/>
      <c r="F61"/>
      <c r="G61"/>
      <c r="H61"/>
    </row>
    <row r="62" spans="3:8" x14ac:dyDescent="0.3">
      <c r="C62"/>
      <c r="D62"/>
      <c r="E62"/>
      <c r="F62"/>
      <c r="G62"/>
      <c r="H62"/>
    </row>
    <row r="63" spans="3:8" x14ac:dyDescent="0.3">
      <c r="C63"/>
      <c r="D63"/>
      <c r="E63"/>
      <c r="F63"/>
      <c r="G63"/>
      <c r="H63"/>
    </row>
    <row r="64" spans="3:8" x14ac:dyDescent="0.3">
      <c r="C64"/>
      <c r="D64"/>
      <c r="E64"/>
      <c r="F64"/>
      <c r="G64"/>
      <c r="H64"/>
    </row>
    <row r="65" spans="3:8" x14ac:dyDescent="0.3">
      <c r="C65"/>
      <c r="D65"/>
      <c r="E65"/>
      <c r="F65"/>
      <c r="G65"/>
      <c r="H65"/>
    </row>
    <row r="66" spans="3:8" x14ac:dyDescent="0.3">
      <c r="C66"/>
      <c r="D66"/>
      <c r="E66"/>
      <c r="F66"/>
      <c r="G66"/>
      <c r="H66"/>
    </row>
    <row r="67" spans="3:8" x14ac:dyDescent="0.3">
      <c r="C67"/>
      <c r="D67"/>
      <c r="E67"/>
      <c r="F67"/>
      <c r="G67"/>
      <c r="H67"/>
    </row>
    <row r="68" spans="3:8" x14ac:dyDescent="0.3">
      <c r="C68"/>
      <c r="D68"/>
      <c r="E68"/>
      <c r="F68"/>
      <c r="G68"/>
      <c r="H68"/>
    </row>
    <row r="69" spans="3:8" x14ac:dyDescent="0.3">
      <c r="C69" s="78" t="s">
        <v>37</v>
      </c>
      <c r="D69" s="71"/>
      <c r="E69" s="78" t="s">
        <v>38</v>
      </c>
      <c r="F69" s="78"/>
      <c r="G69" s="73" t="s">
        <v>39</v>
      </c>
      <c r="H69" s="78"/>
    </row>
    <row r="70" spans="3:8" x14ac:dyDescent="0.3">
      <c r="C70"/>
      <c r="D70"/>
      <c r="E70"/>
      <c r="F70"/>
      <c r="G70"/>
      <c r="H70"/>
    </row>
    <row r="71" spans="3:8" x14ac:dyDescent="0.3">
      <c r="C71"/>
      <c r="D71"/>
      <c r="E71"/>
      <c r="F71"/>
      <c r="G71"/>
      <c r="H71"/>
    </row>
    <row r="72" spans="3:8" x14ac:dyDescent="0.3">
      <c r="C72"/>
      <c r="D72"/>
      <c r="E72"/>
      <c r="F72"/>
      <c r="G72"/>
      <c r="H72"/>
    </row>
    <row r="73" spans="3:8" x14ac:dyDescent="0.3">
      <c r="C73"/>
      <c r="D73"/>
      <c r="E73"/>
      <c r="F73"/>
      <c r="G73"/>
      <c r="H73"/>
    </row>
    <row r="74" spans="3:8" x14ac:dyDescent="0.3">
      <c r="C74"/>
      <c r="D74"/>
      <c r="E74"/>
      <c r="F74"/>
      <c r="G74"/>
      <c r="H74"/>
    </row>
    <row r="76" spans="3:8" x14ac:dyDescent="0.3">
      <c r="C76"/>
      <c r="D76"/>
      <c r="E76"/>
      <c r="F76"/>
      <c r="G76"/>
      <c r="H76"/>
    </row>
  </sheetData>
  <mergeCells count="35">
    <mergeCell ref="E59:F59"/>
    <mergeCell ref="C69:D69"/>
    <mergeCell ref="E69:F69"/>
    <mergeCell ref="G69:H69"/>
    <mergeCell ref="G58:H58"/>
    <mergeCell ref="C58:D58"/>
    <mergeCell ref="E58:F58"/>
    <mergeCell ref="G59:H59"/>
    <mergeCell ref="C59:D59"/>
    <mergeCell ref="C40:D40"/>
    <mergeCell ref="E40:F40"/>
    <mergeCell ref="G40:H40"/>
    <mergeCell ref="C41:D41"/>
    <mergeCell ref="E41:F41"/>
    <mergeCell ref="G41:H41"/>
    <mergeCell ref="C31:D31"/>
    <mergeCell ref="E31:F31"/>
    <mergeCell ref="G31:H31"/>
    <mergeCell ref="C23:H23"/>
    <mergeCell ref="J23:M23"/>
    <mergeCell ref="C24:H24"/>
    <mergeCell ref="J24:M24"/>
    <mergeCell ref="C25:H25"/>
    <mergeCell ref="J25:M25"/>
    <mergeCell ref="C26:H26"/>
    <mergeCell ref="J26:M26"/>
    <mergeCell ref="C27:H27"/>
    <mergeCell ref="C28:H28"/>
    <mergeCell ref="C30:H30"/>
    <mergeCell ref="C22:H22"/>
    <mergeCell ref="C17:H17"/>
    <mergeCell ref="C18:H18"/>
    <mergeCell ref="C19:H19"/>
    <mergeCell ref="C20:H20"/>
    <mergeCell ref="C21:H21"/>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4563-4B54-415F-ADCD-FBDCACD338B1}">
  <sheetPr codeName="Sheet1"/>
  <dimension ref="A1:K317"/>
  <sheetViews>
    <sheetView tabSelected="1" workbookViewId="0">
      <pane ySplit="16" topLeftCell="A74" activePane="bottomLeft" state="frozen"/>
      <selection pane="bottomLeft" activeCell="B18" sqref="B18"/>
    </sheetView>
  </sheetViews>
  <sheetFormatPr defaultRowHeight="14.4" x14ac:dyDescent="0.3"/>
  <cols>
    <col min="1" max="1" width="10.5546875" customWidth="1"/>
    <col min="2" max="2" width="23.88671875" customWidth="1"/>
    <col min="3" max="3" width="22.44140625" style="12" customWidth="1"/>
    <col min="4" max="4" width="22.77734375" style="42" customWidth="1"/>
    <col min="5" max="5" width="26.21875" style="42" customWidth="1"/>
    <col min="6" max="6" width="33.44140625" style="42" customWidth="1"/>
    <col min="7" max="7" width="29.88671875" style="42" customWidth="1"/>
    <col min="8" max="8" width="22.88671875" style="12" customWidth="1"/>
    <col min="9" max="16384" width="8.88671875" style="12"/>
  </cols>
  <sheetData>
    <row r="1" spans="2:11" customFormat="1" x14ac:dyDescent="0.3"/>
    <row r="2" spans="2:11" customFormat="1" x14ac:dyDescent="0.3">
      <c r="F2" s="83" t="s">
        <v>43</v>
      </c>
      <c r="G2" s="84"/>
      <c r="H2" s="84"/>
    </row>
    <row r="3" spans="2:11" customFormat="1" x14ac:dyDescent="0.3">
      <c r="F3" s="85" t="s">
        <v>68</v>
      </c>
      <c r="G3" s="69"/>
      <c r="H3" s="70"/>
    </row>
    <row r="4" spans="2:11" customFormat="1" x14ac:dyDescent="0.3">
      <c r="F4" s="86" t="s">
        <v>66</v>
      </c>
      <c r="G4" s="87"/>
      <c r="H4" s="88"/>
    </row>
    <row r="5" spans="2:11" customFormat="1" x14ac:dyDescent="0.3">
      <c r="F5" s="89" t="s">
        <v>41</v>
      </c>
      <c r="G5" s="90"/>
      <c r="H5" s="91"/>
    </row>
    <row r="6" spans="2:11" customFormat="1" ht="15.6" x14ac:dyDescent="0.3">
      <c r="B6" s="92" t="s">
        <v>3</v>
      </c>
      <c r="C6" s="92"/>
      <c r="F6" s="89" t="s">
        <v>44</v>
      </c>
      <c r="G6" s="90"/>
      <c r="H6" s="91"/>
    </row>
    <row r="7" spans="2:11" customFormat="1" ht="15.6" x14ac:dyDescent="0.3">
      <c r="B7" s="4" t="s">
        <v>19</v>
      </c>
      <c r="C7" s="38">
        <v>100000</v>
      </c>
      <c r="F7" s="95" t="s">
        <v>42</v>
      </c>
      <c r="G7" s="96"/>
      <c r="H7" s="97"/>
    </row>
    <row r="8" spans="2:11" customFormat="1" ht="15.6" x14ac:dyDescent="0.3">
      <c r="B8" s="3" t="s">
        <v>1</v>
      </c>
      <c r="C8" s="40">
        <v>0.05</v>
      </c>
      <c r="D8" s="12"/>
      <c r="E8" s="12"/>
      <c r="F8" s="85" t="s">
        <v>72</v>
      </c>
      <c r="G8" s="69"/>
      <c r="H8" s="70"/>
      <c r="I8" s="12"/>
      <c r="J8" s="12"/>
      <c r="K8" s="12"/>
    </row>
    <row r="9" spans="2:11" customFormat="1" ht="15.6" x14ac:dyDescent="0.3">
      <c r="B9" s="2" t="s">
        <v>76</v>
      </c>
      <c r="C9" s="33">
        <v>21</v>
      </c>
      <c r="D9" s="12"/>
      <c r="E9" s="12"/>
      <c r="F9" s="86" t="s">
        <v>73</v>
      </c>
      <c r="G9" s="87"/>
      <c r="H9" s="88"/>
      <c r="I9" s="12"/>
      <c r="J9" s="12"/>
      <c r="K9" s="12"/>
    </row>
    <row r="10" spans="2:11" customFormat="1" ht="15.6" x14ac:dyDescent="0.3">
      <c r="B10" s="92" t="s">
        <v>0</v>
      </c>
      <c r="C10" s="92"/>
      <c r="D10" s="12"/>
      <c r="E10" s="12"/>
      <c r="F10" s="85" t="s">
        <v>74</v>
      </c>
      <c r="G10" s="69"/>
      <c r="H10" s="70"/>
      <c r="I10" s="12"/>
      <c r="J10" s="12"/>
      <c r="K10" s="12"/>
    </row>
    <row r="11" spans="2:11" customFormat="1" ht="15.6" x14ac:dyDescent="0.3">
      <c r="B11" s="17" t="s">
        <v>20</v>
      </c>
      <c r="C11" s="39">
        <v>7799.6107123809124</v>
      </c>
      <c r="D11" s="12"/>
      <c r="E11" s="12"/>
      <c r="F11" s="86" t="s">
        <v>75</v>
      </c>
      <c r="G11" s="87"/>
      <c r="H11" s="88"/>
      <c r="I11" s="12"/>
      <c r="J11" s="12"/>
      <c r="K11" s="12"/>
    </row>
    <row r="12" spans="2:11" customFormat="1" ht="15.6" x14ac:dyDescent="0.3">
      <c r="B12" s="18"/>
      <c r="C12" s="19"/>
      <c r="D12" s="12"/>
      <c r="E12" s="12"/>
      <c r="F12" s="98" t="s">
        <v>82</v>
      </c>
      <c r="G12" s="99"/>
      <c r="H12" s="100"/>
      <c r="I12" s="12"/>
      <c r="J12" s="12"/>
      <c r="K12" s="12"/>
    </row>
    <row r="13" spans="2:11" customFormat="1" ht="15.6" x14ac:dyDescent="0.3">
      <c r="B13" s="20"/>
      <c r="C13" s="21"/>
      <c r="D13" s="12"/>
      <c r="E13" s="12"/>
      <c r="F13" s="44"/>
      <c r="G13" s="44"/>
      <c r="H13" s="44"/>
      <c r="I13" s="12"/>
      <c r="J13" s="12"/>
      <c r="K13" s="12"/>
    </row>
    <row r="14" spans="2:11" customFormat="1" x14ac:dyDescent="0.3">
      <c r="B14" s="12"/>
      <c r="C14" s="12"/>
      <c r="D14" s="12"/>
      <c r="E14" s="12"/>
      <c r="F14" s="12"/>
      <c r="G14" s="12"/>
      <c r="H14" s="12"/>
      <c r="I14" s="12"/>
      <c r="J14" s="12"/>
      <c r="K14" s="12"/>
    </row>
    <row r="15" spans="2:11" customFormat="1" ht="15.6" x14ac:dyDescent="0.3">
      <c r="B15" s="12"/>
      <c r="C15" s="93" t="s">
        <v>53</v>
      </c>
      <c r="D15" s="94"/>
      <c r="E15" s="94"/>
      <c r="F15" s="94"/>
      <c r="G15" s="94"/>
      <c r="H15" s="14"/>
      <c r="I15" s="12"/>
      <c r="J15" s="12"/>
      <c r="K15" s="12"/>
    </row>
    <row r="16" spans="2:11" customFormat="1" ht="15.6" x14ac:dyDescent="0.3">
      <c r="B16" s="12"/>
      <c r="C16" s="16" t="s">
        <v>2</v>
      </c>
      <c r="D16" s="16" t="s">
        <v>15</v>
      </c>
      <c r="E16" s="16" t="s">
        <v>16</v>
      </c>
      <c r="F16" s="16" t="s">
        <v>17</v>
      </c>
      <c r="G16" s="16" t="s">
        <v>18</v>
      </c>
      <c r="H16" s="15"/>
      <c r="I16" s="12"/>
      <c r="J16" s="12"/>
      <c r="K16" s="12"/>
    </row>
    <row r="17" spans="2:8" ht="15.6" x14ac:dyDescent="0.3">
      <c r="B17" s="12"/>
      <c r="C17" s="1">
        <v>0</v>
      </c>
      <c r="D17" s="36"/>
      <c r="E17" s="36"/>
      <c r="F17" s="36"/>
      <c r="G17" s="36">
        <v>100000</v>
      </c>
      <c r="H17" s="13"/>
    </row>
    <row r="18" spans="2:8" ht="15.6" x14ac:dyDescent="0.3">
      <c r="B18" s="12"/>
      <c r="C18" s="1">
        <v>1</v>
      </c>
      <c r="D18" s="36">
        <v>7799.6107123809124</v>
      </c>
      <c r="E18" s="36">
        <v>5000</v>
      </c>
      <c r="F18" s="36">
        <v>2799.6107123809124</v>
      </c>
      <c r="G18" s="36">
        <v>97200.389287619095</v>
      </c>
      <c r="H18" s="13"/>
    </row>
    <row r="19" spans="2:8" ht="15.6" x14ac:dyDescent="0.3">
      <c r="C19" s="1">
        <v>2</v>
      </c>
      <c r="D19" s="36">
        <v>7799.6107123809124</v>
      </c>
      <c r="E19" s="36">
        <v>4860.0194643809546</v>
      </c>
      <c r="F19" s="36">
        <v>2939.5912479999579</v>
      </c>
      <c r="G19" s="36">
        <v>94260.798039619141</v>
      </c>
      <c r="H19" s="13"/>
    </row>
    <row r="20" spans="2:8" ht="15.6" x14ac:dyDescent="0.3">
      <c r="C20" s="1">
        <v>3</v>
      </c>
      <c r="D20" s="36">
        <v>7799.6107123809124</v>
      </c>
      <c r="E20" s="36">
        <v>4713.0399019809574</v>
      </c>
      <c r="F20" s="36">
        <v>3086.570810399955</v>
      </c>
      <c r="G20" s="36">
        <v>91174.227229219192</v>
      </c>
      <c r="H20" s="13"/>
    </row>
    <row r="21" spans="2:8" ht="15.6" x14ac:dyDescent="0.3">
      <c r="C21" s="1">
        <v>4</v>
      </c>
      <c r="D21" s="36">
        <v>7799.6107123809124</v>
      </c>
      <c r="E21" s="36">
        <v>4558.7113614609598</v>
      </c>
      <c r="F21" s="36">
        <v>3240.8993509199499</v>
      </c>
      <c r="G21" s="36">
        <v>87933.327878299242</v>
      </c>
      <c r="H21" s="13"/>
    </row>
    <row r="22" spans="2:8" ht="15.6" x14ac:dyDescent="0.3">
      <c r="C22" s="1">
        <v>5</v>
      </c>
      <c r="D22" s="36">
        <v>7799.6107123809124</v>
      </c>
      <c r="E22" s="36">
        <v>4396.6663939149621</v>
      </c>
      <c r="F22" s="36">
        <v>3402.9443184659503</v>
      </c>
      <c r="G22" s="36">
        <v>84530.383559833295</v>
      </c>
      <c r="H22" s="13"/>
    </row>
    <row r="23" spans="2:8" ht="15.6" x14ac:dyDescent="0.3">
      <c r="C23" s="1">
        <v>6</v>
      </c>
      <c r="D23" s="36">
        <v>7799.6107123809124</v>
      </c>
      <c r="E23" s="36">
        <v>4226.5191779916649</v>
      </c>
      <c r="F23" s="36">
        <v>3573.0915343892475</v>
      </c>
      <c r="G23" s="36">
        <v>80957.292025444054</v>
      </c>
      <c r="H23" s="13"/>
    </row>
    <row r="24" spans="2:8" ht="15.6" x14ac:dyDescent="0.3">
      <c r="C24" s="1">
        <v>7</v>
      </c>
      <c r="D24" s="36">
        <v>7799.6107123809124</v>
      </c>
      <c r="E24" s="36">
        <v>4047.8646012722029</v>
      </c>
      <c r="F24" s="36">
        <v>3751.7461111087096</v>
      </c>
      <c r="G24" s="36">
        <v>77205.545914335351</v>
      </c>
      <c r="H24" s="13"/>
    </row>
    <row r="25" spans="2:8" ht="15.6" x14ac:dyDescent="0.3">
      <c r="C25" s="1">
        <v>8</v>
      </c>
      <c r="D25" s="36">
        <v>7799.6107123809124</v>
      </c>
      <c r="E25" s="36">
        <v>3860.2772957167676</v>
      </c>
      <c r="F25" s="36">
        <v>3939.3334166641448</v>
      </c>
      <c r="G25" s="36">
        <v>73266.212497671208</v>
      </c>
      <c r="H25" s="13"/>
    </row>
    <row r="26" spans="2:8" ht="15.6" x14ac:dyDescent="0.3">
      <c r="C26" s="1">
        <v>9</v>
      </c>
      <c r="D26" s="36">
        <v>7799.6107123809124</v>
      </c>
      <c r="E26" s="36">
        <v>3663.3106248835606</v>
      </c>
      <c r="F26" s="36">
        <v>4136.3000874973513</v>
      </c>
      <c r="G26" s="36">
        <v>69129.912410173856</v>
      </c>
      <c r="H26" s="13"/>
    </row>
    <row r="27" spans="2:8" ht="15.6" x14ac:dyDescent="0.3">
      <c r="C27" s="1">
        <v>10</v>
      </c>
      <c r="D27" s="36">
        <v>7799.6107123809124</v>
      </c>
      <c r="E27" s="36">
        <v>3456.4956205086928</v>
      </c>
      <c r="F27" s="36">
        <v>4343.1150918722196</v>
      </c>
      <c r="G27" s="36">
        <v>64786.797318301637</v>
      </c>
      <c r="H27" s="13"/>
    </row>
    <row r="28" spans="2:8" ht="15.6" x14ac:dyDescent="0.3">
      <c r="C28" s="1">
        <v>11</v>
      </c>
      <c r="D28" s="36">
        <v>7799.6107123809124</v>
      </c>
      <c r="E28" s="36">
        <v>3239.3398659150821</v>
      </c>
      <c r="F28" s="36">
        <v>4560.2708464658299</v>
      </c>
      <c r="G28" s="36">
        <v>60226.526471835808</v>
      </c>
      <c r="H28" s="13"/>
    </row>
    <row r="29" spans="2:8" ht="15.6" x14ac:dyDescent="0.3">
      <c r="C29" s="1">
        <v>12</v>
      </c>
      <c r="D29" s="36">
        <v>7799.6107123809124</v>
      </c>
      <c r="E29" s="36">
        <v>3011.3263235917907</v>
      </c>
      <c r="F29" s="36">
        <v>4788.2843887891213</v>
      </c>
      <c r="G29" s="36">
        <v>55438.242083046687</v>
      </c>
      <c r="H29" s="13"/>
    </row>
    <row r="30" spans="2:8" ht="15.6" x14ac:dyDescent="0.3">
      <c r="C30" s="1">
        <v>13</v>
      </c>
      <c r="D30" s="36">
        <v>7799.6107123809124</v>
      </c>
      <c r="E30" s="36">
        <v>2771.9121041523345</v>
      </c>
      <c r="F30" s="36">
        <v>5027.6986082285785</v>
      </c>
      <c r="G30" s="36">
        <v>50410.543474818107</v>
      </c>
      <c r="H30" s="13"/>
    </row>
    <row r="31" spans="2:8" ht="15.6" x14ac:dyDescent="0.3">
      <c r="C31" s="1">
        <v>14</v>
      </c>
      <c r="D31" s="36">
        <v>7799.6107123809124</v>
      </c>
      <c r="E31" s="36">
        <v>2520.5271737409057</v>
      </c>
      <c r="F31" s="36">
        <v>5279.0835386400067</v>
      </c>
      <c r="G31" s="36">
        <v>45131.4599361781</v>
      </c>
      <c r="H31" s="13"/>
    </row>
    <row r="32" spans="2:8" ht="15.6" x14ac:dyDescent="0.3">
      <c r="C32" s="1">
        <v>15</v>
      </c>
      <c r="D32" s="36">
        <v>7799.6107123809124</v>
      </c>
      <c r="E32" s="36">
        <v>2256.5729968089049</v>
      </c>
      <c r="F32" s="36">
        <v>5543.0377155720071</v>
      </c>
      <c r="G32" s="36">
        <v>39588.422220606095</v>
      </c>
      <c r="H32" s="13"/>
    </row>
    <row r="33" spans="3:8" ht="15.6" x14ac:dyDescent="0.3">
      <c r="C33" s="1">
        <v>16</v>
      </c>
      <c r="D33" s="36">
        <v>7799.6107123809124</v>
      </c>
      <c r="E33" s="36">
        <v>1979.4211110303049</v>
      </c>
      <c r="F33" s="36">
        <v>5820.1896013506075</v>
      </c>
      <c r="G33" s="36">
        <v>33768.23261925549</v>
      </c>
      <c r="H33" s="13"/>
    </row>
    <row r="34" spans="3:8" ht="15.6" x14ac:dyDescent="0.3">
      <c r="C34" s="1">
        <v>17</v>
      </c>
      <c r="D34" s="36">
        <v>7799.6107123809124</v>
      </c>
      <c r="E34" s="36">
        <v>1688.4116309627746</v>
      </c>
      <c r="F34" s="36">
        <v>6111.1990814181381</v>
      </c>
      <c r="G34" s="36">
        <v>27657.033537837353</v>
      </c>
      <c r="H34" s="13"/>
    </row>
    <row r="35" spans="3:8" ht="15.6" x14ac:dyDescent="0.3">
      <c r="C35" s="1">
        <v>18</v>
      </c>
      <c r="D35" s="36">
        <v>7799.6107123809124</v>
      </c>
      <c r="E35" s="36">
        <v>1382.8516768918678</v>
      </c>
      <c r="F35" s="36">
        <v>6416.7590354890444</v>
      </c>
      <c r="G35" s="36">
        <v>21240.274502348308</v>
      </c>
      <c r="H35" s="13"/>
    </row>
    <row r="36" spans="3:8" ht="15.6" x14ac:dyDescent="0.3">
      <c r="C36" s="1">
        <v>19</v>
      </c>
      <c r="D36" s="36">
        <v>7799.6107123809124</v>
      </c>
      <c r="E36" s="36">
        <v>1062.0137251174153</v>
      </c>
      <c r="F36" s="36">
        <v>6737.5969872634969</v>
      </c>
      <c r="G36" s="36">
        <v>14502.677515084812</v>
      </c>
      <c r="H36" s="13"/>
    </row>
    <row r="37" spans="3:8" ht="15.6" x14ac:dyDescent="0.3">
      <c r="C37" s="1">
        <v>20</v>
      </c>
      <c r="D37" s="36">
        <v>7799.6107123809124</v>
      </c>
      <c r="E37" s="36">
        <v>725.13387575424065</v>
      </c>
      <c r="F37" s="36">
        <v>7074.4768366266717</v>
      </c>
      <c r="G37" s="36">
        <v>7428.2006784581399</v>
      </c>
      <c r="H37" s="13"/>
    </row>
    <row r="38" spans="3:8" ht="15.6" x14ac:dyDescent="0.3">
      <c r="C38" s="1">
        <v>21</v>
      </c>
      <c r="D38" s="36">
        <v>7799.6107123809124</v>
      </c>
      <c r="E38" s="36">
        <v>371.41003392290702</v>
      </c>
      <c r="F38" s="36">
        <v>7428.2006784580053</v>
      </c>
      <c r="G38" s="36">
        <v>1.3460521586239338E-10</v>
      </c>
      <c r="H38" s="13"/>
    </row>
    <row r="39" spans="3:8" ht="15.6" x14ac:dyDescent="0.3">
      <c r="C39" s="32"/>
      <c r="D39" s="37"/>
      <c r="E39" s="37"/>
      <c r="F39" s="37"/>
      <c r="G39" s="37"/>
    </row>
    <row r="40" spans="3:8" ht="15.6" x14ac:dyDescent="0.3">
      <c r="C40" s="32"/>
      <c r="D40" s="37"/>
      <c r="E40" s="37"/>
      <c r="F40" s="37"/>
      <c r="G40" s="37"/>
    </row>
    <row r="41" spans="3:8" ht="15.6" x14ac:dyDescent="0.3">
      <c r="C41" s="32"/>
      <c r="D41" s="37"/>
      <c r="E41" s="37"/>
      <c r="F41" s="37"/>
      <c r="G41" s="37"/>
    </row>
    <row r="42" spans="3:8" ht="15.6" x14ac:dyDescent="0.3">
      <c r="C42" s="32"/>
      <c r="D42" s="37"/>
      <c r="E42" s="37"/>
      <c r="F42" s="37"/>
      <c r="G42" s="37"/>
    </row>
    <row r="43" spans="3:8" ht="15.6" x14ac:dyDescent="0.3">
      <c r="C43" s="32"/>
      <c r="D43" s="37"/>
      <c r="E43" s="37"/>
      <c r="F43" s="37"/>
      <c r="G43" s="37"/>
    </row>
    <row r="44" spans="3:8" ht="15.6" x14ac:dyDescent="0.3">
      <c r="C44" s="32"/>
      <c r="D44" s="37"/>
      <c r="E44" s="37"/>
      <c r="F44" s="37"/>
      <c r="G44" s="37"/>
    </row>
    <row r="45" spans="3:8" ht="15.6" x14ac:dyDescent="0.3">
      <c r="C45" s="32"/>
      <c r="D45" s="37"/>
      <c r="E45" s="37"/>
      <c r="F45" s="37"/>
      <c r="G45" s="37"/>
    </row>
    <row r="46" spans="3:8" ht="15.6" x14ac:dyDescent="0.3">
      <c r="C46" s="32"/>
      <c r="D46" s="37"/>
      <c r="E46" s="37"/>
      <c r="F46" s="37"/>
      <c r="G46" s="37"/>
    </row>
    <row r="47" spans="3:8" ht="15.6" x14ac:dyDescent="0.3">
      <c r="C47" s="32"/>
      <c r="D47" s="37"/>
      <c r="E47" s="37"/>
      <c r="F47" s="37"/>
      <c r="G47" s="37"/>
    </row>
    <row r="48" spans="3:8" ht="15.6" x14ac:dyDescent="0.3">
      <c r="C48" s="32"/>
      <c r="D48" s="37"/>
      <c r="E48" s="37"/>
      <c r="F48" s="37"/>
      <c r="G48" s="37"/>
    </row>
    <row r="49" spans="3:7" ht="15.6" x14ac:dyDescent="0.3">
      <c r="C49" s="32"/>
      <c r="D49" s="37"/>
      <c r="E49" s="37"/>
      <c r="F49" s="37"/>
      <c r="G49" s="37"/>
    </row>
    <row r="50" spans="3:7" ht="15.6" x14ac:dyDescent="0.3">
      <c r="C50" s="32"/>
      <c r="D50" s="37"/>
      <c r="E50" s="37"/>
      <c r="F50" s="37"/>
      <c r="G50" s="37"/>
    </row>
    <row r="51" spans="3:7" ht="15.6" x14ac:dyDescent="0.3">
      <c r="C51" s="32"/>
      <c r="D51" s="37"/>
      <c r="E51" s="37"/>
      <c r="F51" s="37"/>
      <c r="G51" s="37"/>
    </row>
    <row r="52" spans="3:7" ht="15.6" x14ac:dyDescent="0.3">
      <c r="C52" s="32"/>
      <c r="D52" s="37"/>
      <c r="E52" s="37"/>
      <c r="F52" s="37"/>
      <c r="G52" s="37"/>
    </row>
    <row r="53" spans="3:7" ht="15.6" x14ac:dyDescent="0.3">
      <c r="C53" s="32"/>
      <c r="D53" s="37"/>
      <c r="E53" s="37"/>
      <c r="F53" s="37"/>
      <c r="G53" s="37"/>
    </row>
    <row r="54" spans="3:7" ht="15.6" x14ac:dyDescent="0.3">
      <c r="C54" s="32"/>
      <c r="D54" s="37"/>
      <c r="E54" s="37"/>
      <c r="F54" s="37"/>
      <c r="G54" s="37"/>
    </row>
    <row r="55" spans="3:7" ht="15.6" x14ac:dyDescent="0.3">
      <c r="C55" s="32"/>
      <c r="D55" s="37"/>
      <c r="E55" s="37"/>
      <c r="F55" s="37"/>
      <c r="G55" s="37"/>
    </row>
    <row r="56" spans="3:7" ht="15.6" x14ac:dyDescent="0.3">
      <c r="C56" s="32"/>
      <c r="D56" s="37"/>
      <c r="E56" s="37"/>
      <c r="F56" s="37"/>
      <c r="G56" s="37"/>
    </row>
    <row r="57" spans="3:7" ht="15.6" x14ac:dyDescent="0.3">
      <c r="C57" s="32"/>
      <c r="D57" s="37"/>
      <c r="E57" s="37"/>
      <c r="F57" s="37"/>
      <c r="G57" s="37"/>
    </row>
    <row r="58" spans="3:7" ht="15.6" x14ac:dyDescent="0.3">
      <c r="C58" s="32"/>
      <c r="D58" s="37"/>
      <c r="E58" s="37"/>
      <c r="F58" s="37"/>
      <c r="G58" s="37"/>
    </row>
    <row r="59" spans="3:7" ht="15.6" x14ac:dyDescent="0.3">
      <c r="C59" s="32"/>
      <c r="D59" s="37"/>
      <c r="E59" s="37"/>
      <c r="F59" s="37"/>
      <c r="G59" s="37"/>
    </row>
    <row r="60" spans="3:7" ht="15.6" x14ac:dyDescent="0.3">
      <c r="C60" s="32"/>
      <c r="D60" s="37"/>
      <c r="E60" s="37"/>
      <c r="F60" s="37"/>
      <c r="G60" s="37"/>
    </row>
    <row r="61" spans="3:7" ht="15.6" x14ac:dyDescent="0.3">
      <c r="C61" s="32"/>
      <c r="D61" s="37"/>
      <c r="E61" s="37"/>
      <c r="F61" s="37"/>
      <c r="G61" s="37"/>
    </row>
    <row r="62" spans="3:7" ht="15.6" x14ac:dyDescent="0.3">
      <c r="C62" s="32"/>
      <c r="D62" s="37"/>
      <c r="E62" s="37"/>
      <c r="F62" s="37"/>
      <c r="G62" s="37"/>
    </row>
    <row r="63" spans="3:7" ht="15.6" x14ac:dyDescent="0.3">
      <c r="C63" s="32"/>
      <c r="D63" s="37"/>
      <c r="E63" s="37"/>
      <c r="F63" s="37"/>
      <c r="G63" s="37"/>
    </row>
    <row r="64" spans="3:7" ht="15.6" x14ac:dyDescent="0.3">
      <c r="C64" s="32"/>
      <c r="D64" s="37"/>
      <c r="E64" s="37"/>
      <c r="F64" s="37"/>
      <c r="G64" s="37"/>
    </row>
    <row r="65" spans="3:7" ht="15.6" x14ac:dyDescent="0.3">
      <c r="C65" s="32"/>
      <c r="D65" s="37"/>
      <c r="E65" s="37"/>
      <c r="F65" s="37"/>
      <c r="G65" s="37"/>
    </row>
    <row r="66" spans="3:7" ht="15.6" x14ac:dyDescent="0.3">
      <c r="C66" s="32"/>
      <c r="D66" s="37"/>
      <c r="E66" s="37"/>
      <c r="F66" s="37"/>
      <c r="G66" s="37"/>
    </row>
    <row r="67" spans="3:7" ht="15.6" x14ac:dyDescent="0.3">
      <c r="C67" s="32"/>
      <c r="D67" s="37"/>
      <c r="E67" s="37"/>
      <c r="F67" s="37"/>
      <c r="G67" s="37"/>
    </row>
    <row r="68" spans="3:7" ht="15.6" x14ac:dyDescent="0.3">
      <c r="C68" s="32"/>
      <c r="D68" s="37"/>
      <c r="E68" s="37"/>
      <c r="F68" s="37"/>
      <c r="G68" s="37"/>
    </row>
    <row r="69" spans="3:7" ht="15.6" x14ac:dyDescent="0.3">
      <c r="C69" s="32"/>
      <c r="D69" s="37"/>
      <c r="E69" s="37"/>
      <c r="F69" s="37"/>
      <c r="G69" s="37"/>
    </row>
    <row r="70" spans="3:7" ht="15.6" x14ac:dyDescent="0.3">
      <c r="C70" s="32"/>
      <c r="D70" s="37"/>
      <c r="E70" s="37"/>
      <c r="F70" s="37"/>
      <c r="G70" s="37"/>
    </row>
    <row r="71" spans="3:7" ht="15.6" x14ac:dyDescent="0.3">
      <c r="C71" s="32"/>
      <c r="D71" s="37"/>
      <c r="E71" s="37"/>
      <c r="F71" s="37"/>
      <c r="G71" s="37"/>
    </row>
    <row r="72" spans="3:7" ht="15.6" x14ac:dyDescent="0.3">
      <c r="C72" s="32"/>
      <c r="D72" s="37"/>
      <c r="E72" s="37"/>
      <c r="F72" s="37"/>
      <c r="G72" s="37"/>
    </row>
    <row r="73" spans="3:7" ht="15.6" x14ac:dyDescent="0.3">
      <c r="C73" s="32"/>
      <c r="D73" s="37"/>
      <c r="E73" s="37"/>
      <c r="F73" s="37"/>
      <c r="G73" s="37"/>
    </row>
    <row r="74" spans="3:7" ht="15.6" x14ac:dyDescent="0.3">
      <c r="C74" s="32"/>
      <c r="D74" s="37"/>
      <c r="E74" s="37"/>
      <c r="F74" s="37"/>
      <c r="G74" s="37"/>
    </row>
    <row r="75" spans="3:7" ht="15.6" x14ac:dyDescent="0.3">
      <c r="C75" s="32"/>
      <c r="D75" s="37"/>
      <c r="E75" s="37"/>
      <c r="F75" s="37"/>
      <c r="G75" s="37"/>
    </row>
    <row r="76" spans="3:7" ht="15.6" x14ac:dyDescent="0.3">
      <c r="C76" s="32"/>
      <c r="D76" s="37"/>
      <c r="E76" s="37"/>
      <c r="F76" s="37"/>
      <c r="G76" s="37"/>
    </row>
    <row r="77" spans="3:7" ht="15.6" x14ac:dyDescent="0.3">
      <c r="C77" s="32"/>
      <c r="D77" s="37"/>
      <c r="E77" s="37"/>
      <c r="F77" s="37"/>
      <c r="G77" s="37"/>
    </row>
    <row r="78" spans="3:7" ht="15.6" x14ac:dyDescent="0.3">
      <c r="C78" s="32"/>
      <c r="D78" s="37"/>
      <c r="E78" s="37"/>
      <c r="F78" s="37"/>
      <c r="G78" s="37"/>
    </row>
    <row r="79" spans="3:7" ht="15.6" x14ac:dyDescent="0.3">
      <c r="C79" s="32"/>
      <c r="D79" s="37"/>
      <c r="E79" s="37"/>
      <c r="F79" s="37"/>
      <c r="G79" s="37"/>
    </row>
    <row r="80" spans="3:7" ht="15.6" x14ac:dyDescent="0.3">
      <c r="C80" s="32"/>
      <c r="D80" s="37"/>
      <c r="E80" s="37"/>
      <c r="F80" s="37"/>
      <c r="G80" s="37"/>
    </row>
    <row r="81" spans="3:7" ht="15.6" x14ac:dyDescent="0.3">
      <c r="C81" s="32"/>
      <c r="D81" s="37"/>
      <c r="E81" s="37"/>
      <c r="F81" s="37"/>
      <c r="G81" s="37"/>
    </row>
    <row r="82" spans="3:7" ht="15.6" x14ac:dyDescent="0.3">
      <c r="C82" s="32"/>
      <c r="D82" s="37"/>
      <c r="E82" s="37"/>
      <c r="F82" s="37"/>
      <c r="G82" s="37"/>
    </row>
    <row r="83" spans="3:7" ht="15.6" x14ac:dyDescent="0.3">
      <c r="C83" s="32"/>
      <c r="D83" s="37"/>
      <c r="E83" s="37"/>
      <c r="F83" s="37"/>
      <c r="G83" s="37"/>
    </row>
    <row r="84" spans="3:7" ht="15.6" x14ac:dyDescent="0.3">
      <c r="C84" s="32"/>
      <c r="D84" s="37"/>
      <c r="E84" s="37"/>
      <c r="F84" s="37"/>
      <c r="G84" s="37"/>
    </row>
    <row r="85" spans="3:7" ht="15.6" x14ac:dyDescent="0.3">
      <c r="C85" s="32"/>
      <c r="D85" s="37"/>
      <c r="E85" s="37"/>
      <c r="F85" s="37"/>
      <c r="G85" s="37"/>
    </row>
    <row r="86" spans="3:7" ht="15.6" x14ac:dyDescent="0.3">
      <c r="C86" s="32"/>
      <c r="D86" s="37"/>
      <c r="E86" s="37"/>
      <c r="F86" s="37"/>
      <c r="G86" s="37"/>
    </row>
    <row r="87" spans="3:7" ht="15.6" x14ac:dyDescent="0.3">
      <c r="C87" s="32"/>
      <c r="D87" s="37"/>
      <c r="E87" s="37"/>
      <c r="F87" s="37"/>
      <c r="G87" s="37"/>
    </row>
    <row r="88" spans="3:7" ht="15.6" x14ac:dyDescent="0.3">
      <c r="C88" s="32"/>
      <c r="D88" s="37"/>
      <c r="E88" s="37"/>
      <c r="F88" s="37"/>
      <c r="G88" s="37"/>
    </row>
    <row r="89" spans="3:7" ht="15.6" x14ac:dyDescent="0.3">
      <c r="C89" s="32"/>
      <c r="D89" s="37"/>
      <c r="E89" s="37"/>
      <c r="F89" s="37"/>
      <c r="G89" s="37"/>
    </row>
    <row r="90" spans="3:7" ht="15.6" x14ac:dyDescent="0.3">
      <c r="C90" s="32"/>
      <c r="D90" s="37"/>
      <c r="E90" s="37"/>
      <c r="F90" s="37"/>
      <c r="G90" s="37"/>
    </row>
    <row r="91" spans="3:7" ht="15.6" x14ac:dyDescent="0.3">
      <c r="C91" s="32"/>
      <c r="D91" s="37"/>
      <c r="E91" s="37"/>
      <c r="F91" s="37"/>
      <c r="G91" s="37"/>
    </row>
    <row r="92" spans="3:7" ht="15.6" x14ac:dyDescent="0.3">
      <c r="C92" s="32"/>
      <c r="D92" s="37"/>
      <c r="E92" s="37"/>
      <c r="F92" s="37"/>
      <c r="G92" s="37"/>
    </row>
    <row r="93" spans="3:7" ht="15.6" x14ac:dyDescent="0.3">
      <c r="C93" s="32"/>
      <c r="D93" s="37"/>
      <c r="E93" s="37"/>
      <c r="F93" s="37"/>
      <c r="G93" s="37"/>
    </row>
    <row r="94" spans="3:7" ht="15.6" x14ac:dyDescent="0.3">
      <c r="C94" s="32"/>
      <c r="D94" s="37"/>
      <c r="E94" s="37"/>
      <c r="F94" s="37"/>
      <c r="G94" s="37"/>
    </row>
    <row r="95" spans="3:7" ht="15.6" x14ac:dyDescent="0.3">
      <c r="C95" s="32"/>
      <c r="D95" s="37"/>
      <c r="E95" s="37"/>
      <c r="F95" s="37"/>
      <c r="G95" s="37"/>
    </row>
    <row r="96" spans="3:7" ht="15.6" x14ac:dyDescent="0.3">
      <c r="C96" s="32"/>
      <c r="D96" s="37"/>
      <c r="E96" s="37"/>
      <c r="F96" s="37"/>
      <c r="G96" s="37"/>
    </row>
    <row r="97" spans="3:7" ht="15.6" x14ac:dyDescent="0.3">
      <c r="C97" s="32"/>
      <c r="D97" s="37"/>
      <c r="E97" s="37"/>
      <c r="F97" s="37"/>
      <c r="G97" s="37"/>
    </row>
    <row r="98" spans="3:7" ht="15.6" x14ac:dyDescent="0.3">
      <c r="C98" s="32"/>
      <c r="D98" s="37"/>
      <c r="E98" s="37"/>
      <c r="F98" s="37"/>
      <c r="G98" s="37"/>
    </row>
    <row r="99" spans="3:7" ht="15.6" x14ac:dyDescent="0.3">
      <c r="C99" s="32"/>
      <c r="D99" s="37"/>
      <c r="E99" s="37"/>
      <c r="F99" s="37"/>
      <c r="G99" s="37"/>
    </row>
    <row r="100" spans="3:7" ht="15.6" x14ac:dyDescent="0.3">
      <c r="C100" s="32"/>
      <c r="D100" s="37"/>
      <c r="E100" s="37"/>
      <c r="F100" s="37"/>
      <c r="G100" s="37"/>
    </row>
    <row r="101" spans="3:7" ht="15.6" x14ac:dyDescent="0.3">
      <c r="C101" s="32"/>
      <c r="D101" s="37"/>
      <c r="E101" s="37"/>
      <c r="F101" s="37"/>
      <c r="G101" s="37"/>
    </row>
    <row r="102" spans="3:7" ht="15.6" x14ac:dyDescent="0.3">
      <c r="C102" s="32"/>
      <c r="D102" s="37"/>
      <c r="E102" s="37"/>
      <c r="F102" s="37"/>
      <c r="G102" s="37"/>
    </row>
    <row r="103" spans="3:7" ht="15.6" x14ac:dyDescent="0.3">
      <c r="C103" s="32"/>
      <c r="D103" s="37"/>
      <c r="E103" s="37"/>
      <c r="F103" s="37"/>
      <c r="G103" s="37"/>
    </row>
    <row r="104" spans="3:7" ht="15.6" x14ac:dyDescent="0.3">
      <c r="C104" s="32"/>
      <c r="D104" s="37"/>
      <c r="E104" s="37"/>
      <c r="F104" s="37"/>
      <c r="G104" s="37"/>
    </row>
    <row r="105" spans="3:7" ht="15.6" x14ac:dyDescent="0.3">
      <c r="C105" s="32"/>
      <c r="D105" s="37"/>
      <c r="E105" s="37"/>
      <c r="F105" s="37"/>
      <c r="G105" s="37"/>
    </row>
    <row r="106" spans="3:7" ht="15.6" x14ac:dyDescent="0.3">
      <c r="C106" s="32"/>
      <c r="D106" s="37"/>
      <c r="E106" s="37"/>
      <c r="F106" s="37"/>
      <c r="G106" s="37"/>
    </row>
    <row r="107" spans="3:7" ht="15.6" x14ac:dyDescent="0.3">
      <c r="C107" s="32"/>
      <c r="D107" s="37"/>
      <c r="E107" s="37"/>
      <c r="F107" s="37"/>
      <c r="G107" s="37"/>
    </row>
    <row r="108" spans="3:7" ht="15.6" x14ac:dyDescent="0.3">
      <c r="C108" s="32"/>
      <c r="D108" s="37"/>
      <c r="E108" s="37"/>
      <c r="F108" s="37"/>
      <c r="G108" s="37"/>
    </row>
    <row r="109" spans="3:7" ht="15.6" x14ac:dyDescent="0.3">
      <c r="C109" s="32"/>
      <c r="D109" s="37"/>
      <c r="E109" s="37"/>
      <c r="F109" s="37"/>
      <c r="G109" s="37"/>
    </row>
    <row r="110" spans="3:7" ht="15.6" x14ac:dyDescent="0.3">
      <c r="C110" s="32"/>
      <c r="D110" s="37"/>
      <c r="E110" s="37"/>
      <c r="F110" s="37"/>
      <c r="G110" s="37"/>
    </row>
    <row r="111" spans="3:7" ht="15.6" x14ac:dyDescent="0.3">
      <c r="C111" s="32"/>
      <c r="D111" s="37"/>
      <c r="E111" s="37"/>
      <c r="F111" s="37"/>
      <c r="G111" s="37"/>
    </row>
    <row r="112" spans="3:7" ht="15.6" x14ac:dyDescent="0.3">
      <c r="C112" s="32"/>
      <c r="D112" s="37"/>
      <c r="E112" s="37"/>
      <c r="F112" s="37"/>
      <c r="G112" s="37"/>
    </row>
    <row r="113" spans="3:7" ht="15.6" x14ac:dyDescent="0.3">
      <c r="C113" s="32"/>
      <c r="D113" s="37"/>
      <c r="E113" s="37"/>
      <c r="F113" s="37"/>
      <c r="G113" s="37"/>
    </row>
    <row r="114" spans="3:7" ht="15.6" x14ac:dyDescent="0.3">
      <c r="C114" s="32"/>
      <c r="D114" s="37"/>
      <c r="E114" s="37"/>
      <c r="F114" s="37"/>
      <c r="G114" s="37"/>
    </row>
    <row r="115" spans="3:7" ht="15.6" x14ac:dyDescent="0.3">
      <c r="C115" s="32"/>
      <c r="D115" s="37"/>
      <c r="E115" s="37"/>
      <c r="F115" s="37"/>
      <c r="G115" s="37"/>
    </row>
    <row r="116" spans="3:7" ht="15.6" x14ac:dyDescent="0.3">
      <c r="C116" s="32"/>
      <c r="D116" s="37"/>
      <c r="E116" s="37"/>
      <c r="F116" s="37"/>
      <c r="G116" s="37"/>
    </row>
    <row r="117" spans="3:7" ht="15.6" x14ac:dyDescent="0.3">
      <c r="C117" s="32"/>
      <c r="D117" s="37"/>
      <c r="E117" s="37"/>
      <c r="F117" s="37"/>
      <c r="G117" s="37"/>
    </row>
    <row r="118" spans="3:7" ht="15.6" x14ac:dyDescent="0.3">
      <c r="C118" s="32"/>
      <c r="D118" s="37"/>
      <c r="E118" s="37"/>
      <c r="F118" s="37"/>
      <c r="G118" s="37"/>
    </row>
    <row r="119" spans="3:7" ht="15.6" x14ac:dyDescent="0.3">
      <c r="C119" s="32"/>
      <c r="D119" s="37"/>
      <c r="E119" s="37"/>
      <c r="F119" s="37"/>
      <c r="G119" s="37"/>
    </row>
    <row r="120" spans="3:7" ht="15.6" x14ac:dyDescent="0.3">
      <c r="C120" s="32"/>
      <c r="D120" s="37"/>
      <c r="E120" s="37"/>
      <c r="F120" s="37"/>
      <c r="G120" s="37"/>
    </row>
    <row r="121" spans="3:7" ht="15.6" x14ac:dyDescent="0.3">
      <c r="C121" s="32"/>
      <c r="D121" s="37"/>
      <c r="E121" s="37"/>
      <c r="F121" s="37"/>
      <c r="G121" s="37"/>
    </row>
    <row r="122" spans="3:7" ht="15.6" x14ac:dyDescent="0.3">
      <c r="C122" s="32"/>
      <c r="D122" s="37"/>
      <c r="E122" s="37"/>
      <c r="F122" s="37"/>
      <c r="G122" s="37"/>
    </row>
    <row r="123" spans="3:7" ht="15.6" x14ac:dyDescent="0.3">
      <c r="C123" s="32"/>
      <c r="D123" s="37"/>
      <c r="E123" s="37"/>
      <c r="F123" s="37"/>
      <c r="G123" s="37"/>
    </row>
    <row r="124" spans="3:7" ht="15.6" x14ac:dyDescent="0.3">
      <c r="C124" s="32"/>
      <c r="D124" s="37"/>
      <c r="E124" s="37"/>
      <c r="F124" s="37"/>
      <c r="G124" s="37"/>
    </row>
    <row r="125" spans="3:7" ht="15.6" x14ac:dyDescent="0.3">
      <c r="C125" s="32"/>
      <c r="D125" s="37"/>
      <c r="E125" s="37"/>
      <c r="F125" s="37"/>
      <c r="G125" s="37"/>
    </row>
    <row r="126" spans="3:7" ht="15.6" x14ac:dyDescent="0.3">
      <c r="C126" s="32"/>
      <c r="D126" s="37"/>
      <c r="E126" s="37"/>
      <c r="F126" s="37"/>
      <c r="G126" s="37"/>
    </row>
    <row r="127" spans="3:7" ht="15.6" x14ac:dyDescent="0.3">
      <c r="C127" s="32"/>
      <c r="D127" s="37"/>
      <c r="E127" s="37"/>
      <c r="F127" s="37"/>
      <c r="G127" s="37"/>
    </row>
    <row r="128" spans="3:7" ht="15.6" x14ac:dyDescent="0.3">
      <c r="C128" s="32"/>
      <c r="D128" s="37"/>
      <c r="E128" s="37"/>
      <c r="F128" s="37"/>
      <c r="G128" s="37"/>
    </row>
    <row r="129" spans="3:7" ht="15.6" x14ac:dyDescent="0.3">
      <c r="C129" s="32"/>
      <c r="D129" s="37"/>
      <c r="E129" s="37"/>
      <c r="F129" s="37"/>
      <c r="G129" s="37"/>
    </row>
    <row r="130" spans="3:7" ht="15.6" x14ac:dyDescent="0.3">
      <c r="C130" s="32"/>
      <c r="D130" s="37"/>
      <c r="E130" s="37"/>
      <c r="F130" s="37"/>
      <c r="G130" s="37"/>
    </row>
    <row r="131" spans="3:7" ht="15.6" x14ac:dyDescent="0.3">
      <c r="C131" s="32"/>
      <c r="D131" s="37"/>
      <c r="E131" s="37"/>
      <c r="F131" s="37"/>
      <c r="G131" s="37"/>
    </row>
    <row r="132" spans="3:7" ht="15.6" x14ac:dyDescent="0.3">
      <c r="C132" s="32"/>
      <c r="D132" s="37"/>
      <c r="E132" s="37"/>
      <c r="F132" s="37"/>
      <c r="G132" s="37"/>
    </row>
    <row r="133" spans="3:7" ht="15.6" x14ac:dyDescent="0.3">
      <c r="C133" s="32"/>
      <c r="D133" s="37"/>
      <c r="E133" s="37"/>
      <c r="F133" s="37"/>
      <c r="G133" s="37"/>
    </row>
    <row r="134" spans="3:7" ht="15.6" x14ac:dyDescent="0.3">
      <c r="C134" s="32"/>
      <c r="D134" s="37"/>
      <c r="E134" s="37"/>
      <c r="F134" s="37"/>
      <c r="G134" s="37"/>
    </row>
    <row r="135" spans="3:7" ht="15.6" x14ac:dyDescent="0.3">
      <c r="C135" s="32"/>
      <c r="D135" s="37"/>
      <c r="E135" s="37"/>
      <c r="F135" s="37"/>
      <c r="G135" s="37"/>
    </row>
    <row r="136" spans="3:7" ht="15.6" x14ac:dyDescent="0.3">
      <c r="C136" s="32"/>
      <c r="D136" s="37"/>
      <c r="E136" s="37"/>
      <c r="F136" s="37"/>
      <c r="G136" s="37"/>
    </row>
    <row r="137" spans="3:7" ht="15.6" x14ac:dyDescent="0.3">
      <c r="C137" s="32"/>
      <c r="D137" s="37"/>
      <c r="E137" s="37"/>
      <c r="F137" s="37"/>
      <c r="G137" s="37"/>
    </row>
    <row r="138" spans="3:7" ht="15.6" x14ac:dyDescent="0.3">
      <c r="C138" s="32"/>
      <c r="D138" s="37"/>
      <c r="E138" s="37"/>
      <c r="F138" s="37"/>
      <c r="G138" s="37"/>
    </row>
    <row r="139" spans="3:7" ht="15.6" x14ac:dyDescent="0.3">
      <c r="C139" s="32"/>
      <c r="D139" s="37"/>
      <c r="E139" s="37"/>
      <c r="F139" s="37"/>
      <c r="G139" s="37"/>
    </row>
    <row r="140" spans="3:7" ht="15.6" x14ac:dyDescent="0.3">
      <c r="C140" s="32"/>
      <c r="D140" s="37"/>
      <c r="E140" s="37"/>
      <c r="F140" s="37"/>
      <c r="G140" s="37"/>
    </row>
    <row r="141" spans="3:7" ht="15.6" x14ac:dyDescent="0.3">
      <c r="C141" s="32"/>
      <c r="D141" s="37"/>
      <c r="E141" s="37"/>
      <c r="F141" s="37"/>
      <c r="G141" s="37"/>
    </row>
    <row r="142" spans="3:7" ht="15.6" x14ac:dyDescent="0.3">
      <c r="C142" s="32"/>
      <c r="D142" s="37"/>
      <c r="E142" s="37"/>
      <c r="F142" s="37"/>
      <c r="G142" s="37"/>
    </row>
    <row r="143" spans="3:7" ht="15.6" x14ac:dyDescent="0.3">
      <c r="C143" s="32"/>
      <c r="D143" s="37"/>
      <c r="E143" s="37"/>
      <c r="F143" s="37"/>
      <c r="G143" s="37"/>
    </row>
    <row r="144" spans="3:7" ht="15.6" x14ac:dyDescent="0.3">
      <c r="C144" s="32"/>
      <c r="D144" s="37"/>
      <c r="E144" s="37"/>
      <c r="F144" s="37"/>
      <c r="G144" s="37"/>
    </row>
    <row r="145" spans="3:7" ht="15.6" x14ac:dyDescent="0.3">
      <c r="C145" s="32"/>
      <c r="D145" s="37"/>
      <c r="E145" s="37"/>
      <c r="F145" s="37"/>
      <c r="G145" s="37"/>
    </row>
    <row r="146" spans="3:7" ht="15.6" x14ac:dyDescent="0.3">
      <c r="C146" s="32"/>
      <c r="D146" s="37"/>
      <c r="E146" s="37"/>
      <c r="F146" s="37"/>
      <c r="G146" s="37"/>
    </row>
    <row r="147" spans="3:7" ht="15.6" x14ac:dyDescent="0.3">
      <c r="C147" s="32"/>
      <c r="D147" s="37"/>
      <c r="E147" s="37"/>
      <c r="F147" s="37"/>
      <c r="G147" s="37"/>
    </row>
    <row r="148" spans="3:7" ht="15.6" x14ac:dyDescent="0.3">
      <c r="C148" s="32"/>
      <c r="D148" s="37"/>
      <c r="E148" s="37"/>
      <c r="F148" s="37"/>
      <c r="G148" s="37"/>
    </row>
    <row r="149" spans="3:7" ht="15.6" x14ac:dyDescent="0.3">
      <c r="C149" s="32"/>
      <c r="D149" s="37"/>
      <c r="E149" s="37"/>
      <c r="F149" s="37"/>
      <c r="G149" s="37"/>
    </row>
    <row r="150" spans="3:7" ht="15.6" x14ac:dyDescent="0.3">
      <c r="C150" s="32"/>
      <c r="D150" s="37"/>
      <c r="E150" s="37"/>
      <c r="F150" s="37"/>
      <c r="G150" s="37"/>
    </row>
    <row r="151" spans="3:7" ht="15.6" x14ac:dyDescent="0.3">
      <c r="C151" s="32"/>
      <c r="D151" s="37"/>
      <c r="E151" s="37"/>
      <c r="F151" s="37"/>
      <c r="G151" s="37"/>
    </row>
    <row r="152" spans="3:7" ht="15.6" x14ac:dyDescent="0.3">
      <c r="C152" s="32"/>
      <c r="D152" s="37"/>
      <c r="E152" s="37"/>
      <c r="F152" s="37"/>
      <c r="G152" s="37"/>
    </row>
    <row r="153" spans="3:7" ht="15.6" x14ac:dyDescent="0.3">
      <c r="C153" s="32"/>
      <c r="D153" s="37"/>
      <c r="E153" s="37"/>
      <c r="F153" s="37"/>
      <c r="G153" s="37"/>
    </row>
    <row r="154" spans="3:7" ht="15.6" x14ac:dyDescent="0.3">
      <c r="C154" s="32"/>
      <c r="D154" s="37"/>
      <c r="E154" s="37"/>
      <c r="F154" s="37"/>
      <c r="G154" s="37"/>
    </row>
    <row r="155" spans="3:7" ht="15.6" x14ac:dyDescent="0.3">
      <c r="C155" s="32"/>
      <c r="D155" s="37"/>
      <c r="E155" s="37"/>
      <c r="F155" s="37"/>
      <c r="G155" s="37"/>
    </row>
    <row r="156" spans="3:7" ht="15.6" x14ac:dyDescent="0.3">
      <c r="C156" s="32"/>
      <c r="D156" s="37"/>
      <c r="E156" s="37"/>
      <c r="F156" s="37"/>
      <c r="G156" s="37"/>
    </row>
    <row r="157" spans="3:7" ht="15.6" x14ac:dyDescent="0.3">
      <c r="C157" s="32"/>
      <c r="D157" s="37"/>
      <c r="E157" s="37"/>
      <c r="F157" s="37"/>
      <c r="G157" s="37"/>
    </row>
    <row r="158" spans="3:7" ht="15.6" x14ac:dyDescent="0.3">
      <c r="C158" s="32"/>
      <c r="D158" s="37"/>
      <c r="E158" s="37"/>
      <c r="F158" s="37"/>
      <c r="G158" s="37"/>
    </row>
    <row r="159" spans="3:7" ht="15.6" x14ac:dyDescent="0.3">
      <c r="C159" s="32"/>
      <c r="D159" s="37"/>
      <c r="E159" s="37"/>
      <c r="F159" s="37"/>
      <c r="G159" s="37"/>
    </row>
    <row r="160" spans="3:7" ht="15.6" x14ac:dyDescent="0.3">
      <c r="C160" s="32"/>
      <c r="D160" s="37"/>
      <c r="E160" s="37"/>
      <c r="F160" s="37"/>
      <c r="G160" s="37"/>
    </row>
    <row r="161" spans="3:7" ht="15.6" x14ac:dyDescent="0.3">
      <c r="C161" s="32"/>
      <c r="D161" s="37"/>
      <c r="E161" s="37"/>
      <c r="F161" s="37"/>
      <c r="G161" s="37"/>
    </row>
    <row r="162" spans="3:7" ht="15.6" x14ac:dyDescent="0.3">
      <c r="C162" s="32"/>
      <c r="D162" s="37"/>
      <c r="E162" s="37"/>
      <c r="F162" s="37"/>
      <c r="G162" s="37"/>
    </row>
    <row r="163" spans="3:7" ht="15.6" x14ac:dyDescent="0.3">
      <c r="C163" s="32"/>
      <c r="D163" s="37"/>
      <c r="E163" s="37"/>
      <c r="F163" s="37"/>
      <c r="G163" s="37"/>
    </row>
    <row r="164" spans="3:7" ht="15.6" x14ac:dyDescent="0.3">
      <c r="C164" s="32"/>
      <c r="D164" s="37"/>
      <c r="E164" s="37"/>
      <c r="F164" s="37"/>
      <c r="G164" s="37"/>
    </row>
    <row r="165" spans="3:7" ht="15.6" x14ac:dyDescent="0.3">
      <c r="C165" s="32"/>
      <c r="D165" s="37"/>
      <c r="E165" s="37"/>
      <c r="F165" s="37"/>
      <c r="G165" s="37"/>
    </row>
    <row r="166" spans="3:7" ht="15.6" x14ac:dyDescent="0.3">
      <c r="C166" s="32"/>
      <c r="D166" s="37"/>
      <c r="E166" s="37"/>
      <c r="F166" s="37"/>
      <c r="G166" s="37"/>
    </row>
    <row r="167" spans="3:7" ht="15.6" x14ac:dyDescent="0.3">
      <c r="C167" s="32"/>
      <c r="D167" s="37"/>
      <c r="E167" s="37"/>
      <c r="F167" s="37"/>
      <c r="G167" s="37"/>
    </row>
    <row r="168" spans="3:7" ht="15.6" x14ac:dyDescent="0.3">
      <c r="C168" s="32"/>
      <c r="D168" s="37"/>
      <c r="E168" s="37"/>
      <c r="F168" s="37"/>
      <c r="G168" s="37"/>
    </row>
    <row r="169" spans="3:7" ht="15.6" x14ac:dyDescent="0.3">
      <c r="C169" s="32"/>
      <c r="D169" s="37"/>
      <c r="E169" s="37"/>
      <c r="F169" s="37"/>
      <c r="G169" s="37"/>
    </row>
    <row r="170" spans="3:7" ht="15.6" x14ac:dyDescent="0.3">
      <c r="C170" s="32"/>
      <c r="D170" s="37"/>
      <c r="E170" s="37"/>
      <c r="F170" s="37"/>
      <c r="G170" s="37"/>
    </row>
    <row r="171" spans="3:7" ht="15.6" x14ac:dyDescent="0.3">
      <c r="C171" s="32"/>
      <c r="D171" s="37"/>
      <c r="E171" s="37"/>
      <c r="F171" s="37"/>
      <c r="G171" s="37"/>
    </row>
    <row r="172" spans="3:7" ht="15.6" x14ac:dyDescent="0.3">
      <c r="C172" s="32"/>
      <c r="D172" s="37"/>
      <c r="E172" s="37"/>
      <c r="F172" s="37"/>
      <c r="G172" s="37"/>
    </row>
    <row r="173" spans="3:7" ht="15.6" x14ac:dyDescent="0.3">
      <c r="C173" s="32"/>
      <c r="D173" s="37"/>
      <c r="E173" s="37"/>
      <c r="F173" s="37"/>
      <c r="G173" s="37"/>
    </row>
    <row r="174" spans="3:7" ht="15.6" x14ac:dyDescent="0.3">
      <c r="C174" s="32"/>
      <c r="D174" s="37"/>
      <c r="E174" s="37"/>
      <c r="F174" s="37"/>
      <c r="G174" s="37"/>
    </row>
    <row r="175" spans="3:7" ht="15.6" x14ac:dyDescent="0.3">
      <c r="C175" s="32"/>
      <c r="D175" s="37"/>
      <c r="E175" s="37"/>
      <c r="F175" s="37"/>
      <c r="G175" s="37"/>
    </row>
    <row r="176" spans="3:7" ht="15.6" x14ac:dyDescent="0.3">
      <c r="C176" s="32"/>
      <c r="D176" s="37"/>
      <c r="E176" s="37"/>
      <c r="F176" s="37"/>
      <c r="G176" s="37"/>
    </row>
    <row r="177" spans="3:7" ht="15.6" x14ac:dyDescent="0.3">
      <c r="C177" s="32"/>
      <c r="D177" s="37"/>
      <c r="E177" s="37"/>
      <c r="F177" s="37"/>
      <c r="G177" s="37"/>
    </row>
    <row r="178" spans="3:7" ht="15.6" x14ac:dyDescent="0.3">
      <c r="C178" s="32"/>
      <c r="D178" s="37"/>
      <c r="E178" s="37"/>
      <c r="F178" s="37"/>
      <c r="G178" s="37"/>
    </row>
    <row r="179" spans="3:7" ht="15.6" x14ac:dyDescent="0.3">
      <c r="C179" s="32"/>
      <c r="D179" s="37"/>
      <c r="E179" s="37"/>
      <c r="F179" s="37"/>
      <c r="G179" s="37"/>
    </row>
    <row r="180" spans="3:7" ht="15.6" x14ac:dyDescent="0.3">
      <c r="C180" s="32"/>
      <c r="D180" s="37"/>
      <c r="E180" s="37"/>
      <c r="F180" s="37"/>
      <c r="G180" s="37"/>
    </row>
    <row r="181" spans="3:7" ht="15.6" x14ac:dyDescent="0.3">
      <c r="C181" s="32"/>
      <c r="D181" s="37"/>
      <c r="E181" s="37"/>
      <c r="F181" s="37"/>
      <c r="G181" s="37"/>
    </row>
    <row r="182" spans="3:7" ht="15.6" x14ac:dyDescent="0.3">
      <c r="C182" s="32"/>
      <c r="D182" s="37"/>
      <c r="E182" s="37"/>
      <c r="F182" s="37"/>
      <c r="G182" s="37"/>
    </row>
    <row r="183" spans="3:7" ht="15.6" x14ac:dyDescent="0.3">
      <c r="C183" s="32"/>
      <c r="D183" s="37"/>
      <c r="E183" s="37"/>
      <c r="F183" s="37"/>
      <c r="G183" s="37"/>
    </row>
    <row r="184" spans="3:7" ht="15.6" x14ac:dyDescent="0.3">
      <c r="C184" s="32"/>
      <c r="D184" s="37"/>
      <c r="E184" s="37"/>
      <c r="F184" s="37"/>
      <c r="G184" s="37"/>
    </row>
    <row r="185" spans="3:7" ht="15.6" x14ac:dyDescent="0.3">
      <c r="C185" s="32"/>
      <c r="D185" s="37"/>
      <c r="E185" s="37"/>
      <c r="F185" s="37"/>
      <c r="G185" s="37"/>
    </row>
    <row r="186" spans="3:7" ht="15.6" x14ac:dyDescent="0.3">
      <c r="C186" s="32"/>
      <c r="D186" s="37"/>
      <c r="E186" s="37"/>
      <c r="F186" s="37"/>
      <c r="G186" s="37"/>
    </row>
    <row r="187" spans="3:7" ht="15.6" x14ac:dyDescent="0.3">
      <c r="C187" s="32"/>
      <c r="D187" s="37"/>
      <c r="E187" s="37"/>
      <c r="F187" s="37"/>
      <c r="G187" s="37"/>
    </row>
    <row r="188" spans="3:7" ht="15.6" x14ac:dyDescent="0.3">
      <c r="C188" s="32"/>
      <c r="D188" s="37"/>
      <c r="E188" s="37"/>
      <c r="F188" s="37"/>
      <c r="G188" s="37"/>
    </row>
    <row r="189" spans="3:7" ht="15.6" x14ac:dyDescent="0.3">
      <c r="C189" s="32"/>
      <c r="D189" s="37"/>
      <c r="E189" s="37"/>
      <c r="F189" s="37"/>
      <c r="G189" s="37"/>
    </row>
    <row r="190" spans="3:7" ht="15.6" x14ac:dyDescent="0.3">
      <c r="C190" s="32"/>
      <c r="D190" s="37"/>
      <c r="E190" s="37"/>
      <c r="F190" s="37"/>
      <c r="G190" s="37"/>
    </row>
    <row r="191" spans="3:7" ht="15.6" x14ac:dyDescent="0.3">
      <c r="C191" s="32"/>
      <c r="D191" s="37"/>
      <c r="E191" s="37"/>
      <c r="F191" s="37"/>
      <c r="G191" s="37"/>
    </row>
    <row r="192" spans="3:7" ht="15.6" x14ac:dyDescent="0.3">
      <c r="C192" s="32"/>
      <c r="D192" s="37"/>
      <c r="E192" s="37"/>
      <c r="F192" s="37"/>
      <c r="G192" s="37"/>
    </row>
    <row r="193" spans="3:7" ht="15.6" x14ac:dyDescent="0.3">
      <c r="C193" s="32"/>
      <c r="D193" s="37"/>
      <c r="E193" s="37"/>
      <c r="F193" s="37"/>
      <c r="G193" s="37"/>
    </row>
    <row r="194" spans="3:7" ht="15.6" x14ac:dyDescent="0.3">
      <c r="C194" s="32"/>
      <c r="D194" s="37"/>
      <c r="E194" s="37"/>
      <c r="F194" s="37"/>
      <c r="G194" s="37"/>
    </row>
    <row r="195" spans="3:7" ht="15.6" x14ac:dyDescent="0.3">
      <c r="C195" s="32"/>
      <c r="D195" s="37"/>
      <c r="E195" s="37"/>
      <c r="F195" s="37"/>
      <c r="G195" s="37"/>
    </row>
    <row r="196" spans="3:7" ht="15.6" x14ac:dyDescent="0.3">
      <c r="C196" s="32"/>
      <c r="D196" s="37"/>
      <c r="E196" s="37"/>
      <c r="F196" s="37"/>
      <c r="G196" s="37"/>
    </row>
    <row r="197" spans="3:7" ht="15.6" x14ac:dyDescent="0.3">
      <c r="C197" s="32"/>
      <c r="D197" s="37"/>
      <c r="E197" s="37"/>
      <c r="F197" s="37"/>
      <c r="G197" s="37"/>
    </row>
    <row r="198" spans="3:7" ht="15.6" x14ac:dyDescent="0.3">
      <c r="C198" s="32"/>
      <c r="D198" s="37"/>
      <c r="E198" s="37"/>
      <c r="F198" s="37"/>
      <c r="G198" s="37"/>
    </row>
    <row r="199" spans="3:7" ht="15.6" x14ac:dyDescent="0.3">
      <c r="C199" s="32"/>
      <c r="D199" s="37"/>
      <c r="E199" s="37"/>
      <c r="F199" s="37"/>
      <c r="G199" s="37"/>
    </row>
    <row r="200" spans="3:7" ht="15.6" x14ac:dyDescent="0.3">
      <c r="C200" s="32"/>
      <c r="D200" s="37"/>
      <c r="E200" s="37"/>
      <c r="F200" s="37"/>
      <c r="G200" s="37"/>
    </row>
    <row r="201" spans="3:7" ht="15.6" x14ac:dyDescent="0.3">
      <c r="C201" s="32"/>
      <c r="D201" s="37"/>
      <c r="E201" s="37"/>
      <c r="F201" s="37"/>
      <c r="G201" s="37"/>
    </row>
    <row r="202" spans="3:7" ht="15.6" x14ac:dyDescent="0.3">
      <c r="C202" s="32"/>
      <c r="D202" s="37"/>
      <c r="E202" s="37"/>
      <c r="F202" s="37"/>
      <c r="G202" s="37"/>
    </row>
    <row r="203" spans="3:7" ht="15.6" x14ac:dyDescent="0.3">
      <c r="C203" s="32"/>
      <c r="D203" s="37"/>
      <c r="E203" s="37"/>
      <c r="F203" s="37"/>
      <c r="G203" s="37"/>
    </row>
    <row r="204" spans="3:7" ht="15.6" x14ac:dyDescent="0.3">
      <c r="C204" s="32"/>
      <c r="D204" s="37"/>
      <c r="E204" s="37"/>
      <c r="F204" s="37"/>
      <c r="G204" s="37"/>
    </row>
    <row r="205" spans="3:7" ht="15.6" x14ac:dyDescent="0.3">
      <c r="C205" s="32"/>
      <c r="D205" s="37"/>
      <c r="E205" s="37"/>
      <c r="F205" s="37"/>
      <c r="G205" s="37"/>
    </row>
    <row r="206" spans="3:7" ht="15.6" x14ac:dyDescent="0.3">
      <c r="C206" s="32"/>
      <c r="D206" s="37"/>
      <c r="E206" s="37"/>
      <c r="F206" s="37"/>
      <c r="G206" s="37"/>
    </row>
    <row r="207" spans="3:7" ht="15.6" x14ac:dyDescent="0.3">
      <c r="C207" s="32"/>
      <c r="D207" s="37"/>
      <c r="E207" s="37"/>
      <c r="F207" s="37"/>
      <c r="G207" s="37"/>
    </row>
    <row r="208" spans="3:7" ht="15.6" x14ac:dyDescent="0.3">
      <c r="C208" s="32"/>
      <c r="D208" s="37"/>
      <c r="E208" s="37"/>
      <c r="F208" s="37"/>
      <c r="G208" s="37"/>
    </row>
    <row r="209" spans="3:7" ht="15.6" x14ac:dyDescent="0.3">
      <c r="C209" s="32"/>
      <c r="D209" s="37"/>
      <c r="E209" s="37"/>
      <c r="F209" s="37"/>
      <c r="G209" s="37"/>
    </row>
    <row r="210" spans="3:7" ht="15.6" x14ac:dyDescent="0.3">
      <c r="C210" s="32"/>
      <c r="D210" s="37"/>
      <c r="E210" s="37"/>
      <c r="F210" s="37"/>
      <c r="G210" s="37"/>
    </row>
    <row r="211" spans="3:7" ht="15.6" x14ac:dyDescent="0.3">
      <c r="C211" s="32"/>
      <c r="D211" s="37"/>
      <c r="E211" s="37"/>
      <c r="F211" s="37"/>
      <c r="G211" s="37"/>
    </row>
    <row r="212" spans="3:7" ht="15.6" x14ac:dyDescent="0.3">
      <c r="C212" s="32"/>
      <c r="D212" s="37"/>
      <c r="E212" s="37"/>
      <c r="F212" s="37"/>
      <c r="G212" s="37"/>
    </row>
    <row r="213" spans="3:7" ht="15.6" x14ac:dyDescent="0.3">
      <c r="C213" s="32"/>
      <c r="D213" s="37"/>
      <c r="E213" s="37"/>
      <c r="F213" s="37"/>
      <c r="G213" s="37"/>
    </row>
    <row r="214" spans="3:7" ht="15.6" x14ac:dyDescent="0.3">
      <c r="C214" s="32"/>
      <c r="D214" s="37"/>
      <c r="E214" s="37"/>
      <c r="F214" s="37"/>
      <c r="G214" s="37"/>
    </row>
    <row r="215" spans="3:7" ht="15.6" x14ac:dyDescent="0.3">
      <c r="C215" s="32"/>
      <c r="D215" s="37"/>
      <c r="E215" s="37"/>
      <c r="F215" s="37"/>
      <c r="G215" s="37"/>
    </row>
    <row r="216" spans="3:7" ht="15.6" x14ac:dyDescent="0.3">
      <c r="C216" s="32"/>
      <c r="D216" s="37"/>
      <c r="E216" s="37"/>
      <c r="F216" s="37"/>
      <c r="G216" s="37"/>
    </row>
    <row r="217" spans="3:7" ht="15.6" x14ac:dyDescent="0.3">
      <c r="C217" s="32"/>
      <c r="D217" s="37"/>
      <c r="E217" s="37"/>
      <c r="F217" s="37"/>
      <c r="G217" s="37"/>
    </row>
    <row r="218" spans="3:7" ht="15.6" x14ac:dyDescent="0.3">
      <c r="C218" s="32"/>
      <c r="D218" s="37"/>
      <c r="E218" s="37"/>
      <c r="F218" s="37"/>
      <c r="G218" s="37"/>
    </row>
    <row r="219" spans="3:7" ht="15.6" x14ac:dyDescent="0.3">
      <c r="C219" s="32"/>
      <c r="D219" s="37"/>
      <c r="E219" s="37"/>
      <c r="F219" s="37"/>
      <c r="G219" s="37"/>
    </row>
    <row r="220" spans="3:7" ht="15.6" x14ac:dyDescent="0.3">
      <c r="C220" s="32"/>
      <c r="D220" s="37"/>
      <c r="E220" s="37"/>
      <c r="F220" s="37"/>
      <c r="G220" s="37"/>
    </row>
    <row r="221" spans="3:7" ht="15.6" x14ac:dyDescent="0.3">
      <c r="C221" s="32"/>
      <c r="D221" s="37"/>
      <c r="E221" s="37"/>
      <c r="F221" s="37"/>
      <c r="G221" s="37"/>
    </row>
    <row r="222" spans="3:7" ht="15.6" x14ac:dyDescent="0.3">
      <c r="C222" s="32"/>
      <c r="D222" s="37"/>
      <c r="E222" s="37"/>
      <c r="F222" s="37"/>
      <c r="G222" s="37"/>
    </row>
    <row r="223" spans="3:7" ht="15.6" x14ac:dyDescent="0.3">
      <c r="C223" s="32"/>
      <c r="D223" s="37"/>
      <c r="E223" s="37"/>
      <c r="F223" s="37"/>
      <c r="G223" s="37"/>
    </row>
    <row r="224" spans="3:7" ht="15.6" x14ac:dyDescent="0.3">
      <c r="C224" s="32"/>
      <c r="D224" s="37"/>
      <c r="E224" s="37"/>
      <c r="F224" s="37"/>
      <c r="G224" s="37"/>
    </row>
    <row r="225" spans="3:7" ht="15.6" x14ac:dyDescent="0.3">
      <c r="C225" s="32"/>
      <c r="D225" s="37"/>
      <c r="E225" s="37"/>
      <c r="F225" s="37"/>
      <c r="G225" s="37"/>
    </row>
    <row r="226" spans="3:7" ht="15.6" x14ac:dyDescent="0.3">
      <c r="C226" s="32"/>
      <c r="D226" s="37"/>
      <c r="E226" s="37"/>
      <c r="F226" s="37"/>
      <c r="G226" s="37"/>
    </row>
    <row r="227" spans="3:7" ht="15.6" x14ac:dyDescent="0.3">
      <c r="C227" s="32"/>
      <c r="D227" s="37"/>
      <c r="E227" s="37"/>
      <c r="F227" s="37"/>
      <c r="G227" s="37"/>
    </row>
    <row r="228" spans="3:7" ht="15.6" x14ac:dyDescent="0.3">
      <c r="C228" s="32"/>
      <c r="D228" s="37"/>
      <c r="E228" s="37"/>
      <c r="F228" s="37"/>
      <c r="G228" s="37"/>
    </row>
    <row r="229" spans="3:7" ht="15.6" x14ac:dyDescent="0.3">
      <c r="C229" s="32"/>
      <c r="D229" s="37"/>
      <c r="E229" s="37"/>
      <c r="F229" s="37"/>
      <c r="G229" s="37"/>
    </row>
    <row r="230" spans="3:7" ht="15.6" x14ac:dyDescent="0.3">
      <c r="C230" s="32"/>
      <c r="D230" s="37"/>
      <c r="E230" s="37"/>
      <c r="F230" s="37"/>
      <c r="G230" s="37"/>
    </row>
    <row r="231" spans="3:7" ht="15.6" x14ac:dyDescent="0.3">
      <c r="C231" s="32"/>
      <c r="D231" s="37"/>
      <c r="E231" s="37"/>
      <c r="F231" s="37"/>
      <c r="G231" s="37"/>
    </row>
    <row r="232" spans="3:7" ht="15.6" x14ac:dyDescent="0.3">
      <c r="C232" s="32"/>
      <c r="D232" s="37"/>
      <c r="E232" s="37"/>
      <c r="F232" s="37"/>
      <c r="G232" s="37"/>
    </row>
    <row r="233" spans="3:7" ht="15.6" x14ac:dyDescent="0.3">
      <c r="C233" s="32"/>
      <c r="D233" s="37"/>
      <c r="E233" s="37"/>
      <c r="F233" s="37"/>
      <c r="G233" s="37"/>
    </row>
    <row r="234" spans="3:7" ht="15.6" x14ac:dyDescent="0.3">
      <c r="C234" s="32"/>
      <c r="D234" s="37"/>
      <c r="E234" s="37"/>
      <c r="F234" s="37"/>
      <c r="G234" s="37"/>
    </row>
    <row r="235" spans="3:7" ht="15.6" x14ac:dyDescent="0.3">
      <c r="C235" s="32"/>
      <c r="D235" s="37"/>
      <c r="E235" s="37"/>
      <c r="F235" s="37"/>
      <c r="G235" s="37"/>
    </row>
    <row r="236" spans="3:7" ht="15.6" x14ac:dyDescent="0.3">
      <c r="C236" s="32"/>
      <c r="D236" s="37"/>
      <c r="E236" s="37"/>
      <c r="F236" s="37"/>
      <c r="G236" s="37"/>
    </row>
    <row r="237" spans="3:7" ht="15.6" x14ac:dyDescent="0.3">
      <c r="C237" s="32"/>
      <c r="D237" s="37"/>
      <c r="E237" s="37"/>
      <c r="F237" s="37"/>
      <c r="G237" s="37"/>
    </row>
    <row r="238" spans="3:7" ht="15.6" x14ac:dyDescent="0.3">
      <c r="C238" s="32"/>
      <c r="D238" s="37"/>
      <c r="E238" s="37"/>
      <c r="F238" s="37"/>
      <c r="G238" s="37"/>
    </row>
    <row r="239" spans="3:7" ht="15.6" x14ac:dyDescent="0.3">
      <c r="C239" s="32"/>
      <c r="D239" s="37"/>
      <c r="E239" s="37"/>
      <c r="F239" s="37"/>
      <c r="G239" s="37"/>
    </row>
    <row r="240" spans="3:7" ht="15.6" x14ac:dyDescent="0.3">
      <c r="C240" s="32"/>
      <c r="D240" s="37"/>
      <c r="E240" s="37"/>
      <c r="F240" s="37"/>
      <c r="G240" s="37"/>
    </row>
    <row r="241" spans="3:7" ht="15.6" x14ac:dyDescent="0.3">
      <c r="C241" s="32"/>
      <c r="D241" s="37"/>
      <c r="E241" s="37"/>
      <c r="F241" s="37"/>
      <c r="G241" s="37"/>
    </row>
    <row r="242" spans="3:7" ht="15.6" x14ac:dyDescent="0.3">
      <c r="C242" s="32"/>
      <c r="D242" s="37"/>
      <c r="E242" s="37"/>
      <c r="F242" s="37"/>
      <c r="G242" s="37"/>
    </row>
    <row r="243" spans="3:7" ht="15.6" x14ac:dyDescent="0.3">
      <c r="C243" s="32"/>
      <c r="D243" s="37"/>
      <c r="E243" s="37"/>
      <c r="F243" s="37"/>
      <c r="G243" s="37"/>
    </row>
    <row r="244" spans="3:7" ht="15.6" x14ac:dyDescent="0.3">
      <c r="C244" s="32"/>
      <c r="D244" s="37"/>
      <c r="E244" s="37"/>
      <c r="F244" s="37"/>
      <c r="G244" s="37"/>
    </row>
    <row r="245" spans="3:7" ht="15.6" x14ac:dyDescent="0.3">
      <c r="C245" s="32"/>
      <c r="D245" s="37"/>
      <c r="E245" s="37"/>
      <c r="F245" s="37"/>
      <c r="G245" s="37"/>
    </row>
    <row r="246" spans="3:7" ht="15.6" x14ac:dyDescent="0.3">
      <c r="C246" s="32"/>
      <c r="D246" s="37"/>
      <c r="E246" s="37"/>
      <c r="F246" s="37"/>
      <c r="G246" s="37"/>
    </row>
    <row r="247" spans="3:7" ht="15.6" x14ac:dyDescent="0.3">
      <c r="C247" s="32"/>
      <c r="D247" s="37"/>
      <c r="E247" s="37"/>
      <c r="F247" s="37"/>
      <c r="G247" s="37"/>
    </row>
    <row r="248" spans="3:7" ht="15.6" x14ac:dyDescent="0.3">
      <c r="C248" s="32"/>
      <c r="D248" s="37"/>
      <c r="E248" s="37"/>
      <c r="F248" s="37"/>
      <c r="G248" s="37"/>
    </row>
    <row r="249" spans="3:7" ht="15.6" x14ac:dyDescent="0.3">
      <c r="C249" s="32"/>
      <c r="D249" s="37"/>
      <c r="E249" s="37"/>
      <c r="F249" s="37"/>
      <c r="G249" s="37"/>
    </row>
    <row r="250" spans="3:7" ht="15.6" x14ac:dyDescent="0.3">
      <c r="C250" s="32"/>
      <c r="D250" s="37"/>
      <c r="E250" s="37"/>
      <c r="F250" s="37"/>
      <c r="G250" s="37"/>
    </row>
    <row r="251" spans="3:7" ht="15.6" x14ac:dyDescent="0.3">
      <c r="C251" s="32"/>
      <c r="D251" s="37"/>
      <c r="E251" s="37"/>
      <c r="F251" s="37"/>
      <c r="G251" s="37"/>
    </row>
    <row r="252" spans="3:7" ht="15.6" x14ac:dyDescent="0.3">
      <c r="C252" s="32"/>
      <c r="D252" s="37"/>
      <c r="E252" s="37"/>
      <c r="F252" s="37"/>
      <c r="G252" s="37"/>
    </row>
    <row r="253" spans="3:7" ht="15.6" x14ac:dyDescent="0.3">
      <c r="C253" s="32"/>
      <c r="D253" s="37"/>
      <c r="E253" s="37"/>
      <c r="F253" s="37"/>
      <c r="G253" s="37"/>
    </row>
    <row r="254" spans="3:7" ht="15.6" x14ac:dyDescent="0.3">
      <c r="C254" s="32"/>
      <c r="D254" s="37"/>
      <c r="E254" s="37"/>
      <c r="F254" s="37"/>
      <c r="G254" s="37"/>
    </row>
    <row r="255" spans="3:7" ht="15.6" x14ac:dyDescent="0.3">
      <c r="C255" s="32"/>
      <c r="D255" s="37"/>
      <c r="E255" s="37"/>
      <c r="F255" s="37"/>
      <c r="G255" s="37"/>
    </row>
    <row r="256" spans="3:7" ht="15.6" x14ac:dyDescent="0.3">
      <c r="C256" s="32"/>
      <c r="D256" s="37"/>
      <c r="E256" s="37"/>
      <c r="F256" s="37"/>
      <c r="G256" s="37"/>
    </row>
    <row r="257" spans="3:7" ht="15.6" x14ac:dyDescent="0.3">
      <c r="C257" s="32"/>
      <c r="D257" s="37"/>
      <c r="E257" s="37"/>
      <c r="F257" s="37"/>
      <c r="G257" s="37"/>
    </row>
    <row r="258" spans="3:7" ht="15.6" x14ac:dyDescent="0.3">
      <c r="C258" s="32"/>
      <c r="D258" s="37"/>
      <c r="E258" s="37"/>
      <c r="F258" s="37"/>
      <c r="G258" s="37"/>
    </row>
    <row r="259" spans="3:7" ht="15.6" x14ac:dyDescent="0.3">
      <c r="C259" s="32"/>
      <c r="D259" s="37"/>
      <c r="E259" s="37"/>
      <c r="F259" s="37"/>
      <c r="G259" s="37"/>
    </row>
    <row r="260" spans="3:7" ht="15.6" x14ac:dyDescent="0.3">
      <c r="C260" s="32"/>
      <c r="D260" s="37"/>
      <c r="E260" s="37"/>
      <c r="F260" s="37"/>
      <c r="G260" s="37"/>
    </row>
    <row r="261" spans="3:7" ht="15.6" x14ac:dyDescent="0.3">
      <c r="C261" s="32"/>
      <c r="D261" s="37"/>
      <c r="E261" s="37"/>
      <c r="F261" s="37"/>
      <c r="G261" s="37"/>
    </row>
    <row r="262" spans="3:7" ht="15.6" x14ac:dyDescent="0.3">
      <c r="C262" s="32"/>
      <c r="D262" s="37"/>
      <c r="E262" s="37"/>
      <c r="F262" s="37"/>
      <c r="G262" s="37"/>
    </row>
    <row r="263" spans="3:7" ht="15.6" x14ac:dyDescent="0.3">
      <c r="C263" s="32"/>
      <c r="D263" s="37"/>
      <c r="E263" s="37"/>
      <c r="F263" s="37"/>
      <c r="G263" s="37"/>
    </row>
    <row r="264" spans="3:7" ht="15.6" x14ac:dyDescent="0.3">
      <c r="C264" s="32"/>
      <c r="D264" s="37"/>
      <c r="E264" s="37"/>
      <c r="F264" s="37"/>
      <c r="G264" s="37"/>
    </row>
    <row r="265" spans="3:7" ht="15.6" x14ac:dyDescent="0.3">
      <c r="C265" s="32"/>
      <c r="D265" s="37"/>
      <c r="E265" s="37"/>
      <c r="F265" s="37"/>
      <c r="G265" s="37"/>
    </row>
    <row r="266" spans="3:7" ht="15.6" x14ac:dyDescent="0.3">
      <c r="C266" s="32"/>
      <c r="D266" s="37"/>
      <c r="E266" s="37"/>
      <c r="F266" s="37"/>
      <c r="G266" s="37"/>
    </row>
    <row r="267" spans="3:7" ht="15.6" x14ac:dyDescent="0.3">
      <c r="C267" s="32"/>
      <c r="D267" s="37"/>
      <c r="E267" s="37"/>
      <c r="F267" s="37"/>
      <c r="G267" s="37"/>
    </row>
    <row r="268" spans="3:7" ht="15.6" x14ac:dyDescent="0.3">
      <c r="C268" s="32"/>
      <c r="D268" s="37"/>
      <c r="E268" s="37"/>
      <c r="F268" s="37"/>
      <c r="G268" s="37"/>
    </row>
    <row r="269" spans="3:7" ht="15.6" x14ac:dyDescent="0.3">
      <c r="C269" s="32"/>
      <c r="D269" s="37"/>
      <c r="E269" s="37"/>
      <c r="F269" s="37"/>
      <c r="G269" s="37"/>
    </row>
    <row r="270" spans="3:7" ht="15.6" x14ac:dyDescent="0.3">
      <c r="C270" s="32"/>
      <c r="D270" s="37"/>
      <c r="E270" s="37"/>
      <c r="F270" s="37"/>
      <c r="G270" s="37"/>
    </row>
    <row r="271" spans="3:7" ht="15.6" x14ac:dyDescent="0.3">
      <c r="C271" s="32"/>
      <c r="D271" s="37"/>
      <c r="E271" s="37"/>
      <c r="F271" s="37"/>
      <c r="G271" s="37"/>
    </row>
    <row r="272" spans="3:7" ht="15.6" x14ac:dyDescent="0.3">
      <c r="C272" s="32"/>
      <c r="D272" s="37"/>
      <c r="E272" s="37"/>
      <c r="F272" s="37"/>
      <c r="G272" s="37"/>
    </row>
    <row r="273" spans="3:7" ht="15.6" x14ac:dyDescent="0.3">
      <c r="C273" s="32"/>
      <c r="D273" s="37"/>
      <c r="E273" s="37"/>
      <c r="F273" s="37"/>
      <c r="G273" s="37"/>
    </row>
    <row r="274" spans="3:7" ht="15.6" x14ac:dyDescent="0.3">
      <c r="C274" s="32"/>
      <c r="D274" s="37"/>
      <c r="E274" s="37"/>
      <c r="F274" s="37"/>
      <c r="G274" s="37"/>
    </row>
    <row r="275" spans="3:7" ht="15.6" x14ac:dyDescent="0.3">
      <c r="C275" s="32"/>
      <c r="D275" s="37"/>
      <c r="E275" s="37"/>
      <c r="F275" s="37"/>
      <c r="G275" s="37"/>
    </row>
    <row r="276" spans="3:7" ht="15.6" x14ac:dyDescent="0.3">
      <c r="C276" s="32"/>
      <c r="D276" s="37"/>
      <c r="E276" s="37"/>
      <c r="F276" s="37"/>
      <c r="G276" s="37"/>
    </row>
    <row r="277" spans="3:7" ht="15.6" x14ac:dyDescent="0.3">
      <c r="C277" s="32"/>
      <c r="D277" s="37"/>
      <c r="E277" s="37"/>
      <c r="F277" s="37"/>
      <c r="G277" s="37"/>
    </row>
    <row r="278" spans="3:7" ht="15.6" x14ac:dyDescent="0.3">
      <c r="C278" s="32"/>
      <c r="D278" s="37"/>
      <c r="E278" s="37"/>
      <c r="F278" s="37"/>
      <c r="G278" s="37"/>
    </row>
    <row r="279" spans="3:7" ht="15.6" x14ac:dyDescent="0.3">
      <c r="C279" s="32"/>
      <c r="D279" s="37"/>
      <c r="E279" s="37"/>
      <c r="F279" s="37"/>
      <c r="G279" s="37"/>
    </row>
    <row r="280" spans="3:7" ht="15.6" x14ac:dyDescent="0.3">
      <c r="C280" s="32"/>
      <c r="D280" s="37"/>
      <c r="E280" s="37"/>
      <c r="F280" s="37"/>
      <c r="G280" s="37"/>
    </row>
    <row r="281" spans="3:7" ht="15.6" x14ac:dyDescent="0.3">
      <c r="C281" s="32"/>
      <c r="D281" s="37"/>
      <c r="E281" s="37"/>
      <c r="F281" s="37"/>
      <c r="G281" s="37"/>
    </row>
    <row r="282" spans="3:7" ht="15.6" x14ac:dyDescent="0.3">
      <c r="C282" s="32"/>
      <c r="D282" s="37"/>
      <c r="E282" s="37"/>
      <c r="F282" s="37"/>
      <c r="G282" s="37"/>
    </row>
    <row r="283" spans="3:7" ht="15.6" x14ac:dyDescent="0.3">
      <c r="C283" s="32"/>
      <c r="D283" s="37"/>
      <c r="E283" s="37"/>
      <c r="F283" s="37"/>
      <c r="G283" s="37"/>
    </row>
    <row r="284" spans="3:7" ht="15.6" x14ac:dyDescent="0.3">
      <c r="C284" s="32"/>
      <c r="D284" s="37"/>
      <c r="E284" s="37"/>
      <c r="F284" s="37"/>
      <c r="G284" s="37"/>
    </row>
    <row r="285" spans="3:7" ht="15.6" x14ac:dyDescent="0.3">
      <c r="C285" s="32"/>
      <c r="D285" s="37"/>
      <c r="E285" s="37"/>
      <c r="F285" s="37"/>
      <c r="G285" s="37"/>
    </row>
    <row r="286" spans="3:7" ht="15.6" x14ac:dyDescent="0.3">
      <c r="C286" s="32"/>
      <c r="D286" s="37"/>
      <c r="E286" s="37"/>
      <c r="F286" s="37"/>
      <c r="G286" s="37"/>
    </row>
    <row r="287" spans="3:7" ht="15.6" x14ac:dyDescent="0.3">
      <c r="C287" s="32"/>
      <c r="D287" s="37"/>
      <c r="E287" s="37"/>
      <c r="F287" s="37"/>
      <c r="G287" s="37"/>
    </row>
    <row r="288" spans="3:7" ht="15.6" x14ac:dyDescent="0.3">
      <c r="C288" s="32"/>
      <c r="D288" s="37"/>
      <c r="E288" s="37"/>
      <c r="F288" s="37"/>
      <c r="G288" s="37"/>
    </row>
    <row r="289" spans="3:7" ht="15.6" x14ac:dyDescent="0.3">
      <c r="C289" s="32"/>
      <c r="D289" s="37"/>
      <c r="E289" s="37"/>
      <c r="F289" s="37"/>
      <c r="G289" s="37"/>
    </row>
    <row r="290" spans="3:7" ht="15.6" x14ac:dyDescent="0.3">
      <c r="C290" s="32"/>
      <c r="D290" s="37"/>
      <c r="E290" s="37"/>
      <c r="F290" s="37"/>
      <c r="G290" s="37"/>
    </row>
    <row r="291" spans="3:7" ht="15.6" x14ac:dyDescent="0.3">
      <c r="C291" s="32"/>
      <c r="D291" s="37"/>
      <c r="E291" s="37"/>
      <c r="F291" s="37"/>
      <c r="G291" s="37"/>
    </row>
    <row r="292" spans="3:7" ht="15.6" x14ac:dyDescent="0.3">
      <c r="C292" s="32"/>
      <c r="D292" s="37"/>
      <c r="E292" s="37"/>
      <c r="F292" s="37"/>
      <c r="G292" s="37"/>
    </row>
    <row r="293" spans="3:7" ht="15.6" x14ac:dyDescent="0.3">
      <c r="C293" s="32"/>
      <c r="D293" s="37"/>
      <c r="E293" s="37"/>
      <c r="F293" s="37"/>
      <c r="G293" s="37"/>
    </row>
    <row r="294" spans="3:7" ht="15.6" x14ac:dyDescent="0.3">
      <c r="C294" s="32"/>
      <c r="D294" s="37"/>
      <c r="E294" s="37"/>
      <c r="F294" s="37"/>
      <c r="G294" s="37"/>
    </row>
    <row r="295" spans="3:7" ht="15.6" x14ac:dyDescent="0.3">
      <c r="C295" s="32"/>
      <c r="D295" s="37"/>
      <c r="E295" s="37"/>
      <c r="F295" s="37"/>
      <c r="G295" s="37"/>
    </row>
    <row r="296" spans="3:7" ht="15.6" x14ac:dyDescent="0.3">
      <c r="C296" s="32"/>
      <c r="D296" s="37"/>
      <c r="E296" s="37"/>
      <c r="F296" s="37"/>
      <c r="G296" s="37"/>
    </row>
    <row r="297" spans="3:7" ht="15.6" x14ac:dyDescent="0.3">
      <c r="C297" s="32"/>
      <c r="D297" s="37"/>
      <c r="E297" s="37"/>
      <c r="F297" s="37"/>
      <c r="G297" s="37"/>
    </row>
    <row r="298" spans="3:7" ht="15.6" x14ac:dyDescent="0.3">
      <c r="C298" s="32"/>
      <c r="D298" s="37"/>
      <c r="E298" s="37"/>
      <c r="F298" s="37"/>
      <c r="G298" s="37"/>
    </row>
    <row r="299" spans="3:7" ht="15.6" x14ac:dyDescent="0.3">
      <c r="C299" s="32"/>
      <c r="D299" s="37"/>
      <c r="E299" s="37"/>
      <c r="F299" s="37"/>
      <c r="G299" s="37"/>
    </row>
    <row r="300" spans="3:7" ht="15.6" x14ac:dyDescent="0.3">
      <c r="C300" s="32"/>
      <c r="D300" s="37"/>
      <c r="E300" s="37"/>
      <c r="F300" s="37"/>
      <c r="G300" s="37"/>
    </row>
    <row r="301" spans="3:7" ht="15.6" x14ac:dyDescent="0.3">
      <c r="C301" s="32"/>
      <c r="D301" s="37"/>
      <c r="E301" s="37"/>
      <c r="F301" s="37"/>
      <c r="G301" s="37"/>
    </row>
    <row r="302" spans="3:7" ht="15.6" x14ac:dyDescent="0.3">
      <c r="C302" s="32"/>
      <c r="D302" s="37"/>
      <c r="E302" s="37"/>
      <c r="F302" s="37"/>
      <c r="G302" s="37"/>
    </row>
    <row r="303" spans="3:7" ht="15.6" x14ac:dyDescent="0.3">
      <c r="C303" s="32"/>
      <c r="D303" s="37"/>
      <c r="E303" s="37"/>
      <c r="F303" s="37"/>
      <c r="G303" s="37"/>
    </row>
    <row r="304" spans="3:7" ht="15.6" x14ac:dyDescent="0.3">
      <c r="C304" s="32"/>
      <c r="D304" s="37"/>
      <c r="E304" s="37"/>
      <c r="F304" s="37"/>
      <c r="G304" s="37"/>
    </row>
    <row r="305" spans="3:7" ht="15.6" x14ac:dyDescent="0.3">
      <c r="C305" s="32"/>
      <c r="D305" s="37"/>
      <c r="E305" s="37"/>
      <c r="F305" s="37"/>
      <c r="G305" s="37"/>
    </row>
    <row r="306" spans="3:7" ht="15.6" x14ac:dyDescent="0.3">
      <c r="C306" s="32"/>
      <c r="D306" s="37"/>
      <c r="E306" s="37"/>
      <c r="F306" s="37"/>
      <c r="G306" s="37"/>
    </row>
    <row r="307" spans="3:7" ht="15.6" x14ac:dyDescent="0.3">
      <c r="C307" s="32"/>
      <c r="D307" s="37"/>
      <c r="E307" s="37"/>
      <c r="F307" s="37"/>
      <c r="G307" s="37"/>
    </row>
    <row r="308" spans="3:7" ht="15.6" x14ac:dyDescent="0.3">
      <c r="C308" s="32"/>
      <c r="D308" s="37"/>
      <c r="E308" s="37"/>
      <c r="F308" s="37"/>
      <c r="G308" s="37"/>
    </row>
    <row r="309" spans="3:7" ht="15.6" x14ac:dyDescent="0.3">
      <c r="C309" s="32"/>
      <c r="D309" s="37"/>
      <c r="E309" s="37"/>
      <c r="F309" s="37"/>
      <c r="G309" s="37"/>
    </row>
    <row r="310" spans="3:7" ht="15.6" x14ac:dyDescent="0.3">
      <c r="C310" s="32"/>
      <c r="D310" s="37"/>
      <c r="E310" s="37"/>
      <c r="F310" s="37"/>
      <c r="G310" s="37"/>
    </row>
    <row r="311" spans="3:7" ht="15.6" x14ac:dyDescent="0.3">
      <c r="C311" s="32"/>
      <c r="D311" s="37"/>
      <c r="E311" s="37"/>
      <c r="F311" s="37"/>
      <c r="G311" s="37"/>
    </row>
    <row r="312" spans="3:7" ht="15.6" x14ac:dyDescent="0.3">
      <c r="C312" s="32"/>
      <c r="D312" s="37"/>
      <c r="E312" s="37"/>
      <c r="F312" s="37"/>
      <c r="G312" s="37"/>
    </row>
    <row r="313" spans="3:7" ht="15.6" x14ac:dyDescent="0.3">
      <c r="C313" s="32"/>
      <c r="D313" s="37"/>
      <c r="E313" s="37"/>
      <c r="F313" s="37"/>
      <c r="G313" s="37"/>
    </row>
    <row r="314" spans="3:7" ht="15.6" x14ac:dyDescent="0.3">
      <c r="C314" s="32"/>
      <c r="D314" s="37"/>
      <c r="E314" s="37"/>
      <c r="F314" s="37"/>
      <c r="G314" s="37"/>
    </row>
    <row r="315" spans="3:7" ht="15.6" x14ac:dyDescent="0.3">
      <c r="C315" s="32"/>
      <c r="D315" s="37"/>
      <c r="E315" s="37"/>
      <c r="F315" s="37"/>
      <c r="G315" s="37"/>
    </row>
    <row r="316" spans="3:7" ht="15.6" x14ac:dyDescent="0.3">
      <c r="C316" s="32"/>
      <c r="D316" s="37"/>
      <c r="E316" s="37"/>
      <c r="F316" s="37"/>
      <c r="G316" s="37"/>
    </row>
    <row r="317" spans="3:7" ht="15.6" x14ac:dyDescent="0.3">
      <c r="C317" s="32"/>
      <c r="D317" s="37"/>
      <c r="E317" s="37"/>
      <c r="F317" s="37"/>
      <c r="G317" s="37"/>
    </row>
  </sheetData>
  <mergeCells count="14">
    <mergeCell ref="C15:G15"/>
    <mergeCell ref="B10:C10"/>
    <mergeCell ref="F7:H7"/>
    <mergeCell ref="F8:H8"/>
    <mergeCell ref="F9:H9"/>
    <mergeCell ref="F10:H10"/>
    <mergeCell ref="F11:H11"/>
    <mergeCell ref="F12:H12"/>
    <mergeCell ref="F2:H2"/>
    <mergeCell ref="F3:H3"/>
    <mergeCell ref="F4:H4"/>
    <mergeCell ref="F5:H5"/>
    <mergeCell ref="B6:C6"/>
    <mergeCell ref="F6:H6"/>
  </mergeCells>
  <dataValidations count="3">
    <dataValidation type="whole" operator="greaterThan" allowBlank="1" showInputMessage="1" showErrorMessage="1" errorTitle="Error" error="You must put a whole number in this cell or the value must be grater than one." sqref="C9" xr:uid="{5C8479CA-29C6-4F05-A28B-ED960C097F10}">
      <formula1>1</formula1>
    </dataValidation>
    <dataValidation type="decimal" allowBlank="1" showInputMessage="1" showErrorMessage="1" errorTitle="Error" error="The values in this cell must be between 0 and 0.99." sqref="C8" xr:uid="{908DC71B-615C-4A56-91B9-BAE676367B6B}">
      <formula1>0</formula1>
      <formula2>0.99</formula2>
    </dataValidation>
    <dataValidation type="decimal" operator="greaterThanOrEqual" allowBlank="1" showInputMessage="1" showErrorMessage="1" error="The value must be greater than zero." sqref="C7" xr:uid="{E6C68E6E-08CF-4754-BB0E-B4D4798C186B}">
      <formula1>0</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8C231-2B20-4CD8-A5E4-103D18B2C95D}">
  <sheetPr codeName="Sheet2"/>
  <dimension ref="A1:K317"/>
  <sheetViews>
    <sheetView workbookViewId="0">
      <pane ySplit="16" topLeftCell="A17" activePane="bottomLeft" state="frozen"/>
      <selection pane="bottomLeft" activeCell="F12" sqref="F12:H12"/>
    </sheetView>
  </sheetViews>
  <sheetFormatPr defaultRowHeight="14.4" x14ac:dyDescent="0.3"/>
  <cols>
    <col min="1" max="1" width="6" customWidth="1"/>
    <col min="2" max="2" width="25.44140625" customWidth="1"/>
    <col min="3" max="3" width="22.5546875" style="41" customWidth="1"/>
    <col min="4" max="4" width="25.44140625" style="42" customWidth="1"/>
    <col min="5" max="5" width="26.21875" style="42" customWidth="1"/>
    <col min="6" max="6" width="33.44140625" style="42" customWidth="1"/>
    <col min="7" max="7" width="29.88671875" style="42" customWidth="1"/>
    <col min="8" max="8" width="23.77734375" style="42" customWidth="1"/>
    <col min="9" max="16384" width="8.88671875" style="12"/>
  </cols>
  <sheetData>
    <row r="1" spans="2:11" customFormat="1" x14ac:dyDescent="0.3"/>
    <row r="2" spans="2:11" customFormat="1" x14ac:dyDescent="0.3">
      <c r="F2" s="83" t="s">
        <v>43</v>
      </c>
      <c r="G2" s="84"/>
      <c r="H2" s="84"/>
    </row>
    <row r="3" spans="2:11" customFormat="1" x14ac:dyDescent="0.3">
      <c r="F3" s="85" t="s">
        <v>69</v>
      </c>
      <c r="G3" s="69"/>
      <c r="H3" s="70"/>
    </row>
    <row r="4" spans="2:11" customFormat="1" x14ac:dyDescent="0.3">
      <c r="F4" s="86" t="s">
        <v>70</v>
      </c>
      <c r="G4" s="87"/>
      <c r="H4" s="88"/>
    </row>
    <row r="5" spans="2:11" customFormat="1" x14ac:dyDescent="0.3">
      <c r="F5" s="89" t="s">
        <v>41</v>
      </c>
      <c r="G5" s="90"/>
      <c r="H5" s="91"/>
    </row>
    <row r="6" spans="2:11" customFormat="1" ht="15.6" x14ac:dyDescent="0.3">
      <c r="B6" s="92" t="s">
        <v>3</v>
      </c>
      <c r="C6" s="92"/>
      <c r="F6" s="89" t="s">
        <v>46</v>
      </c>
      <c r="G6" s="90"/>
      <c r="H6" s="91"/>
    </row>
    <row r="7" spans="2:11" customFormat="1" ht="15.6" x14ac:dyDescent="0.3">
      <c r="B7" s="3" t="s">
        <v>51</v>
      </c>
      <c r="C7" s="9">
        <v>30000</v>
      </c>
      <c r="F7" s="95" t="s">
        <v>42</v>
      </c>
      <c r="G7" s="96"/>
      <c r="H7" s="97"/>
    </row>
    <row r="8" spans="2:11" customFormat="1" ht="15.6" x14ac:dyDescent="0.3">
      <c r="B8" s="3" t="s">
        <v>1</v>
      </c>
      <c r="C8" s="10">
        <v>0.08</v>
      </c>
      <c r="D8" s="12"/>
      <c r="E8" s="12"/>
      <c r="F8" s="85" t="s">
        <v>72</v>
      </c>
      <c r="G8" s="69"/>
      <c r="H8" s="70"/>
      <c r="I8" s="12"/>
      <c r="J8" s="12"/>
      <c r="K8" s="12"/>
    </row>
    <row r="9" spans="2:11" customFormat="1" ht="15.6" x14ac:dyDescent="0.3">
      <c r="B9" s="3" t="s">
        <v>10</v>
      </c>
      <c r="C9" s="10">
        <v>0.06</v>
      </c>
      <c r="D9" s="12"/>
      <c r="E9" s="12"/>
      <c r="F9" s="86" t="s">
        <v>73</v>
      </c>
      <c r="G9" s="87"/>
      <c r="H9" s="88"/>
      <c r="I9" s="12"/>
      <c r="J9" s="12"/>
      <c r="K9" s="12"/>
    </row>
    <row r="10" spans="2:11" customFormat="1" ht="15.6" x14ac:dyDescent="0.3">
      <c r="B10" s="3" t="s">
        <v>76</v>
      </c>
      <c r="C10" s="11">
        <v>30</v>
      </c>
      <c r="D10" s="12"/>
      <c r="E10" s="12"/>
      <c r="F10" s="85" t="s">
        <v>74</v>
      </c>
      <c r="G10" s="69"/>
      <c r="H10" s="70"/>
      <c r="I10" s="12"/>
      <c r="J10" s="12"/>
      <c r="K10" s="12"/>
    </row>
    <row r="11" spans="2:11" customFormat="1" ht="15.6" x14ac:dyDescent="0.3">
      <c r="B11" s="92" t="s">
        <v>0</v>
      </c>
      <c r="C11" s="101"/>
      <c r="D11" s="12"/>
      <c r="E11" s="12"/>
      <c r="F11" s="86" t="s">
        <v>75</v>
      </c>
      <c r="G11" s="87"/>
      <c r="H11" s="88"/>
      <c r="I11" s="12"/>
      <c r="J11" s="12"/>
      <c r="K11" s="12"/>
    </row>
    <row r="12" spans="2:11" customFormat="1" ht="15.6" x14ac:dyDescent="0.3">
      <c r="B12" s="4" t="s">
        <v>5</v>
      </c>
      <c r="C12" s="7">
        <v>2400</v>
      </c>
      <c r="D12" s="12"/>
      <c r="E12" s="12"/>
      <c r="F12" s="98" t="s">
        <v>82</v>
      </c>
      <c r="G12" s="99"/>
      <c r="H12" s="100"/>
      <c r="I12" s="12"/>
      <c r="J12" s="12"/>
      <c r="K12" s="12"/>
    </row>
    <row r="13" spans="2:11" customFormat="1" ht="15.6" x14ac:dyDescent="0.3">
      <c r="B13" s="2" t="s">
        <v>6</v>
      </c>
      <c r="C13" s="8">
        <v>379.46734470141655</v>
      </c>
      <c r="D13" s="12"/>
      <c r="E13" s="12"/>
      <c r="F13" s="12"/>
      <c r="G13" s="12"/>
      <c r="H13" s="12"/>
      <c r="I13" s="12"/>
      <c r="J13" s="12"/>
      <c r="K13" s="12"/>
    </row>
    <row r="14" spans="2:11" customFormat="1" x14ac:dyDescent="0.3">
      <c r="B14" s="12"/>
      <c r="C14" s="12"/>
      <c r="D14" s="12"/>
      <c r="E14" s="12"/>
      <c r="F14" s="12"/>
      <c r="G14" s="12"/>
      <c r="H14" s="12"/>
      <c r="I14" s="12"/>
      <c r="J14" s="12"/>
      <c r="K14" s="12"/>
    </row>
    <row r="15" spans="2:11" customFormat="1" ht="15.6" x14ac:dyDescent="0.3">
      <c r="B15" s="12"/>
      <c r="C15" s="102" t="s">
        <v>4</v>
      </c>
      <c r="D15" s="103"/>
      <c r="E15" s="103"/>
      <c r="F15" s="103"/>
      <c r="G15" s="103"/>
      <c r="H15" s="103"/>
      <c r="I15" s="12"/>
      <c r="J15" s="12"/>
      <c r="K15" s="12"/>
    </row>
    <row r="16" spans="2:11" customFormat="1" ht="15.6" x14ac:dyDescent="0.3">
      <c r="B16" s="12"/>
      <c r="C16" s="5" t="s">
        <v>2</v>
      </c>
      <c r="D16" s="5" t="s">
        <v>5</v>
      </c>
      <c r="E16" s="5" t="s">
        <v>6</v>
      </c>
      <c r="F16" s="5" t="s">
        <v>7</v>
      </c>
      <c r="G16" s="6" t="s">
        <v>8</v>
      </c>
      <c r="H16" s="6" t="s">
        <v>9</v>
      </c>
      <c r="I16" s="12"/>
      <c r="J16" s="12"/>
      <c r="K16" s="12"/>
    </row>
    <row r="17" spans="2:8" ht="15.6" x14ac:dyDescent="0.3">
      <c r="B17" s="12"/>
      <c r="C17" s="34">
        <v>0</v>
      </c>
      <c r="D17" s="36"/>
      <c r="E17" s="36"/>
      <c r="F17" s="36"/>
      <c r="G17" s="36">
        <v>0</v>
      </c>
      <c r="H17" s="36">
        <v>30000</v>
      </c>
    </row>
    <row r="18" spans="2:8" ht="15.6" x14ac:dyDescent="0.3">
      <c r="B18" s="12"/>
      <c r="C18" s="34">
        <v>1</v>
      </c>
      <c r="D18" s="36">
        <v>2400</v>
      </c>
      <c r="E18" s="36">
        <v>379.46734470141655</v>
      </c>
      <c r="F18" s="36">
        <v>0</v>
      </c>
      <c r="G18" s="36">
        <v>379.46734470141655</v>
      </c>
      <c r="H18" s="36">
        <v>29620.532655298583</v>
      </c>
    </row>
    <row r="19" spans="2:8" ht="15.6" x14ac:dyDescent="0.3">
      <c r="C19" s="34">
        <v>2</v>
      </c>
      <c r="D19" s="36">
        <v>2400</v>
      </c>
      <c r="E19" s="36">
        <v>379.46734470141655</v>
      </c>
      <c r="F19" s="36">
        <v>22.768040682084994</v>
      </c>
      <c r="G19" s="36">
        <v>781.70273008491813</v>
      </c>
      <c r="H19" s="36">
        <v>29218.297269915081</v>
      </c>
    </row>
    <row r="20" spans="2:8" ht="15.6" x14ac:dyDescent="0.3">
      <c r="C20" s="34">
        <v>3</v>
      </c>
      <c r="D20" s="36">
        <v>2400</v>
      </c>
      <c r="E20" s="36">
        <v>379.46734470141655</v>
      </c>
      <c r="F20" s="36">
        <v>46.902163805095086</v>
      </c>
      <c r="G20" s="36">
        <v>1208.0722385914298</v>
      </c>
      <c r="H20" s="36">
        <v>28791.927761408569</v>
      </c>
    </row>
    <row r="21" spans="2:8" ht="15.6" x14ac:dyDescent="0.3">
      <c r="C21" s="34">
        <v>4</v>
      </c>
      <c r="D21" s="36">
        <v>2400</v>
      </c>
      <c r="E21" s="36">
        <v>379.46734470141655</v>
      </c>
      <c r="F21" s="36">
        <v>72.484334315485782</v>
      </c>
      <c r="G21" s="36">
        <v>1660.0239176083321</v>
      </c>
      <c r="H21" s="36">
        <v>28339.976082391669</v>
      </c>
    </row>
    <row r="22" spans="2:8" ht="15.6" x14ac:dyDescent="0.3">
      <c r="C22" s="34">
        <v>5</v>
      </c>
      <c r="D22" s="36">
        <v>2400</v>
      </c>
      <c r="E22" s="36">
        <v>379.46734470141655</v>
      </c>
      <c r="F22" s="36">
        <v>99.601435056499923</v>
      </c>
      <c r="G22" s="36">
        <v>2139.0926973662486</v>
      </c>
      <c r="H22" s="36">
        <v>27860.90730263375</v>
      </c>
    </row>
    <row r="23" spans="2:8" ht="15.6" x14ac:dyDescent="0.3">
      <c r="C23" s="34">
        <v>6</v>
      </c>
      <c r="D23" s="36">
        <v>2400</v>
      </c>
      <c r="E23" s="36">
        <v>379.46734470141655</v>
      </c>
      <c r="F23" s="36">
        <v>128.3455618419749</v>
      </c>
      <c r="G23" s="36">
        <v>2646.9056039096399</v>
      </c>
      <c r="H23" s="36">
        <v>27353.094396090361</v>
      </c>
    </row>
    <row r="24" spans="2:8" ht="15.6" x14ac:dyDescent="0.3">
      <c r="C24" s="34">
        <v>7</v>
      </c>
      <c r="D24" s="36">
        <v>2400</v>
      </c>
      <c r="E24" s="36">
        <v>379.46734470141655</v>
      </c>
      <c r="F24" s="36">
        <v>158.81433623457838</v>
      </c>
      <c r="G24" s="36">
        <v>3185.1872848456351</v>
      </c>
      <c r="H24" s="36">
        <v>26814.812715154367</v>
      </c>
    </row>
    <row r="25" spans="2:8" ht="15.6" x14ac:dyDescent="0.3">
      <c r="C25" s="34">
        <v>8</v>
      </c>
      <c r="D25" s="36">
        <v>2400</v>
      </c>
      <c r="E25" s="36">
        <v>379.46734470141655</v>
      </c>
      <c r="F25" s="36">
        <v>191.11123709073809</v>
      </c>
      <c r="G25" s="36">
        <v>3755.7658666377897</v>
      </c>
      <c r="H25" s="36">
        <v>26244.23413336221</v>
      </c>
    </row>
    <row r="26" spans="2:8" ht="15.6" x14ac:dyDescent="0.3">
      <c r="C26" s="34">
        <v>9</v>
      </c>
      <c r="D26" s="36">
        <v>2400</v>
      </c>
      <c r="E26" s="36">
        <v>379.46734470141655</v>
      </c>
      <c r="F26" s="36">
        <v>225.34595199826737</v>
      </c>
      <c r="G26" s="36">
        <v>4360.5791633374729</v>
      </c>
      <c r="H26" s="36">
        <v>25639.420836662528</v>
      </c>
    </row>
    <row r="27" spans="2:8" ht="15.6" x14ac:dyDescent="0.3">
      <c r="C27" s="34">
        <v>10</v>
      </c>
      <c r="D27" s="36">
        <v>2400</v>
      </c>
      <c r="E27" s="36">
        <v>379.46734470141655</v>
      </c>
      <c r="F27" s="36">
        <v>261.63474980024836</v>
      </c>
      <c r="G27" s="36">
        <v>5001.6812578391382</v>
      </c>
      <c r="H27" s="36">
        <v>24998.31874216086</v>
      </c>
    </row>
    <row r="28" spans="2:8" ht="15.6" x14ac:dyDescent="0.3">
      <c r="C28" s="34">
        <v>11</v>
      </c>
      <c r="D28" s="36">
        <v>2400</v>
      </c>
      <c r="E28" s="36">
        <v>379.46734470141655</v>
      </c>
      <c r="F28" s="36">
        <v>300.10087547034829</v>
      </c>
      <c r="G28" s="36">
        <v>5681.2494780109027</v>
      </c>
      <c r="H28" s="36">
        <v>24318.750521989095</v>
      </c>
    </row>
    <row r="29" spans="2:8" ht="15.6" x14ac:dyDescent="0.3">
      <c r="C29" s="34">
        <v>12</v>
      </c>
      <c r="D29" s="36">
        <v>2400</v>
      </c>
      <c r="E29" s="36">
        <v>379.46734470141655</v>
      </c>
      <c r="F29" s="36">
        <v>340.87496868065415</v>
      </c>
      <c r="G29" s="36">
        <v>6401.5917913929734</v>
      </c>
      <c r="H29" s="36">
        <v>23598.408208607027</v>
      </c>
    </row>
    <row r="30" spans="2:8" ht="15.6" x14ac:dyDescent="0.3">
      <c r="C30" s="34">
        <v>13</v>
      </c>
      <c r="D30" s="36">
        <v>2400</v>
      </c>
      <c r="E30" s="36">
        <v>379.46734470141655</v>
      </c>
      <c r="F30" s="36">
        <v>384.09550748357839</v>
      </c>
      <c r="G30" s="36">
        <v>7165.1546435779683</v>
      </c>
      <c r="H30" s="36">
        <v>22834.845356422033</v>
      </c>
    </row>
    <row r="31" spans="2:8" ht="15.6" x14ac:dyDescent="0.3">
      <c r="C31" s="34">
        <v>14</v>
      </c>
      <c r="D31" s="36">
        <v>2400</v>
      </c>
      <c r="E31" s="36">
        <v>379.46734470141655</v>
      </c>
      <c r="F31" s="36">
        <v>429.9092786146781</v>
      </c>
      <c r="G31" s="36">
        <v>7974.5312668940633</v>
      </c>
      <c r="H31" s="36">
        <v>22025.468733105936</v>
      </c>
    </row>
    <row r="32" spans="2:8" ht="15.6" x14ac:dyDescent="0.3">
      <c r="C32" s="34">
        <v>15</v>
      </c>
      <c r="D32" s="36">
        <v>2400</v>
      </c>
      <c r="E32" s="36">
        <v>379.46734470141655</v>
      </c>
      <c r="F32" s="36">
        <v>478.47187601364379</v>
      </c>
      <c r="G32" s="36">
        <v>8832.4704876091237</v>
      </c>
      <c r="H32" s="36">
        <v>21167.529512390876</v>
      </c>
    </row>
    <row r="33" spans="3:8" ht="15.6" x14ac:dyDescent="0.3">
      <c r="C33" s="34">
        <v>16</v>
      </c>
      <c r="D33" s="36">
        <v>2400</v>
      </c>
      <c r="E33" s="36">
        <v>379.46734470141655</v>
      </c>
      <c r="F33" s="36">
        <v>529.94822925654739</v>
      </c>
      <c r="G33" s="36">
        <v>9741.8860615670892</v>
      </c>
      <c r="H33" s="36">
        <v>20258.113938432911</v>
      </c>
    </row>
    <row r="34" spans="3:8" ht="15.6" x14ac:dyDescent="0.3">
      <c r="C34" s="34">
        <v>17</v>
      </c>
      <c r="D34" s="36">
        <v>2400</v>
      </c>
      <c r="E34" s="36">
        <v>379.46734470141655</v>
      </c>
      <c r="F34" s="36">
        <v>584.51316369402537</v>
      </c>
      <c r="G34" s="36">
        <v>10705.866569962533</v>
      </c>
      <c r="H34" s="36">
        <v>19294.133430037466</v>
      </c>
    </row>
    <row r="35" spans="3:8" ht="15.6" x14ac:dyDescent="0.3">
      <c r="C35" s="34">
        <v>18</v>
      </c>
      <c r="D35" s="36">
        <v>2400</v>
      </c>
      <c r="E35" s="36">
        <v>379.46734470141655</v>
      </c>
      <c r="F35" s="36">
        <v>642.35199419775188</v>
      </c>
      <c r="G35" s="36">
        <v>11727.6859088617</v>
      </c>
      <c r="H35" s="36">
        <v>18272.314091138302</v>
      </c>
    </row>
    <row r="36" spans="3:8" ht="15.6" x14ac:dyDescent="0.3">
      <c r="C36" s="34">
        <v>19</v>
      </c>
      <c r="D36" s="36">
        <v>2400</v>
      </c>
      <c r="E36" s="36">
        <v>379.46734470141655</v>
      </c>
      <c r="F36" s="36">
        <v>703.66115453170198</v>
      </c>
      <c r="G36" s="36">
        <v>12810.814408094819</v>
      </c>
      <c r="H36" s="36">
        <v>17189.185591905181</v>
      </c>
    </row>
    <row r="37" spans="3:8" ht="15.6" x14ac:dyDescent="0.3">
      <c r="C37" s="34">
        <v>20</v>
      </c>
      <c r="D37" s="36">
        <v>2400</v>
      </c>
      <c r="E37" s="36">
        <v>379.46734470141655</v>
      </c>
      <c r="F37" s="36">
        <v>768.64886448568905</v>
      </c>
      <c r="G37" s="36">
        <v>13958.930617281925</v>
      </c>
      <c r="H37" s="36">
        <v>16041.069382718075</v>
      </c>
    </row>
    <row r="38" spans="3:8" ht="15.6" x14ac:dyDescent="0.3">
      <c r="C38" s="34">
        <v>21</v>
      </c>
      <c r="D38" s="36">
        <v>2400</v>
      </c>
      <c r="E38" s="36">
        <v>379.46734470141655</v>
      </c>
      <c r="F38" s="36">
        <v>837.5358370369155</v>
      </c>
      <c r="G38" s="36">
        <v>15175.933799020257</v>
      </c>
      <c r="H38" s="36">
        <v>14824.066200979743</v>
      </c>
    </row>
    <row r="39" spans="3:8" ht="15.6" x14ac:dyDescent="0.3">
      <c r="C39" s="34">
        <v>22</v>
      </c>
      <c r="D39" s="36">
        <v>2400</v>
      </c>
      <c r="E39" s="36">
        <v>379.46734470141655</v>
      </c>
      <c r="F39" s="36">
        <v>910.55602794121535</v>
      </c>
      <c r="G39" s="36">
        <v>16465.957171662889</v>
      </c>
      <c r="H39" s="36">
        <v>13534.042828337111</v>
      </c>
    </row>
    <row r="40" spans="3:8" ht="15.6" x14ac:dyDescent="0.3">
      <c r="C40" s="34">
        <v>23</v>
      </c>
      <c r="D40" s="36">
        <v>2400</v>
      </c>
      <c r="E40" s="36">
        <v>379.46734470141655</v>
      </c>
      <c r="F40" s="36">
        <v>987.95743029977325</v>
      </c>
      <c r="G40" s="36">
        <v>17833.381946664078</v>
      </c>
      <c r="H40" s="36">
        <v>12166.618053335922</v>
      </c>
    </row>
    <row r="41" spans="3:8" ht="15.6" x14ac:dyDescent="0.3">
      <c r="C41" s="34">
        <v>24</v>
      </c>
      <c r="D41" s="36">
        <v>2400</v>
      </c>
      <c r="E41" s="36">
        <v>379.46734470141655</v>
      </c>
      <c r="F41" s="36">
        <v>1070.0029167998446</v>
      </c>
      <c r="G41" s="36">
        <v>19282.852208165339</v>
      </c>
      <c r="H41" s="36">
        <v>10717.147791834661</v>
      </c>
    </row>
    <row r="42" spans="3:8" ht="15.6" x14ac:dyDescent="0.3">
      <c r="C42" s="34">
        <v>25</v>
      </c>
      <c r="D42" s="36">
        <v>2400</v>
      </c>
      <c r="E42" s="36">
        <v>379.46734470141655</v>
      </c>
      <c r="F42" s="36">
        <v>1156.9711324899204</v>
      </c>
      <c r="G42" s="36">
        <v>20819.290685356678</v>
      </c>
      <c r="H42" s="36">
        <v>9180.7093146433217</v>
      </c>
    </row>
    <row r="43" spans="3:8" ht="15.6" x14ac:dyDescent="0.3">
      <c r="C43" s="34">
        <v>26</v>
      </c>
      <c r="D43" s="36">
        <v>2400</v>
      </c>
      <c r="E43" s="36">
        <v>379.46734470141655</v>
      </c>
      <c r="F43" s="36">
        <v>1249.1574411214006</v>
      </c>
      <c r="G43" s="36">
        <v>22447.915471179498</v>
      </c>
      <c r="H43" s="36">
        <v>7552.0845288205019</v>
      </c>
    </row>
    <row r="44" spans="3:8" ht="15.6" x14ac:dyDescent="0.3">
      <c r="C44" s="34">
        <v>27</v>
      </c>
      <c r="D44" s="36">
        <v>2400</v>
      </c>
      <c r="E44" s="36">
        <v>379.46734470141655</v>
      </c>
      <c r="F44" s="36">
        <v>1346.8749282707699</v>
      </c>
      <c r="G44" s="36">
        <v>24174.257744151684</v>
      </c>
      <c r="H44" s="36">
        <v>5825.7422558483158</v>
      </c>
    </row>
    <row r="45" spans="3:8" ht="15.6" x14ac:dyDescent="0.3">
      <c r="C45" s="34">
        <v>28</v>
      </c>
      <c r="D45" s="36">
        <v>2400</v>
      </c>
      <c r="E45" s="36">
        <v>379.46734470141655</v>
      </c>
      <c r="F45" s="36">
        <v>1450.455464649101</v>
      </c>
      <c r="G45" s="36">
        <v>26004.180553502203</v>
      </c>
      <c r="H45" s="36">
        <v>3995.8194464977969</v>
      </c>
    </row>
    <row r="46" spans="3:8" ht="15.6" x14ac:dyDescent="0.3">
      <c r="C46" s="34">
        <v>29</v>
      </c>
      <c r="D46" s="36">
        <v>2400</v>
      </c>
      <c r="E46" s="36">
        <v>379.46734470141655</v>
      </c>
      <c r="F46" s="36">
        <v>1560.2508332101322</v>
      </c>
      <c r="G46" s="36">
        <v>27943.898731413752</v>
      </c>
      <c r="H46" s="36">
        <v>2056.1012685862479</v>
      </c>
    </row>
    <row r="47" spans="3:8" ht="15.6" x14ac:dyDescent="0.3">
      <c r="C47" s="34">
        <v>30</v>
      </c>
      <c r="D47" s="36">
        <v>2400</v>
      </c>
      <c r="E47" s="36">
        <v>379.46734470141655</v>
      </c>
      <c r="F47" s="36">
        <v>1676.633923884825</v>
      </c>
      <c r="G47" s="36">
        <v>29999.999999999993</v>
      </c>
      <c r="H47" s="36">
        <v>0</v>
      </c>
    </row>
    <row r="48" spans="3:8" ht="15.6" x14ac:dyDescent="0.3">
      <c r="C48" s="35"/>
      <c r="D48" s="37"/>
      <c r="E48" s="37"/>
      <c r="F48" s="37"/>
      <c r="G48" s="37"/>
      <c r="H48" s="37"/>
    </row>
    <row r="49" spans="3:8" ht="15.6" x14ac:dyDescent="0.3">
      <c r="C49" s="35"/>
      <c r="D49" s="37"/>
      <c r="E49" s="37"/>
      <c r="F49" s="37"/>
      <c r="G49" s="37"/>
      <c r="H49" s="37"/>
    </row>
    <row r="50" spans="3:8" ht="15.6" x14ac:dyDescent="0.3">
      <c r="C50" s="35"/>
      <c r="D50" s="37"/>
      <c r="E50" s="37"/>
      <c r="F50" s="37"/>
      <c r="G50" s="37"/>
      <c r="H50" s="37"/>
    </row>
    <row r="51" spans="3:8" ht="15.6" x14ac:dyDescent="0.3">
      <c r="C51" s="35"/>
      <c r="D51" s="37"/>
      <c r="E51" s="37"/>
      <c r="F51" s="37"/>
      <c r="G51" s="37"/>
      <c r="H51" s="37"/>
    </row>
    <row r="52" spans="3:8" ht="15.6" x14ac:dyDescent="0.3">
      <c r="C52" s="35"/>
      <c r="D52" s="37"/>
      <c r="E52" s="37"/>
      <c r="F52" s="37"/>
      <c r="G52" s="37"/>
      <c r="H52" s="37"/>
    </row>
    <row r="53" spans="3:8" ht="15.6" x14ac:dyDescent="0.3">
      <c r="C53" s="35"/>
      <c r="D53" s="37"/>
      <c r="E53" s="37"/>
      <c r="F53" s="37"/>
      <c r="G53" s="37"/>
      <c r="H53" s="37"/>
    </row>
    <row r="54" spans="3:8" ht="15.6" x14ac:dyDescent="0.3">
      <c r="C54" s="35"/>
      <c r="D54" s="37"/>
      <c r="E54" s="37"/>
      <c r="F54" s="37"/>
      <c r="G54" s="37"/>
      <c r="H54" s="37"/>
    </row>
    <row r="55" spans="3:8" ht="15.6" x14ac:dyDescent="0.3">
      <c r="C55" s="35"/>
      <c r="D55" s="37"/>
      <c r="E55" s="37"/>
      <c r="F55" s="37"/>
      <c r="G55" s="37"/>
      <c r="H55" s="37"/>
    </row>
    <row r="56" spans="3:8" ht="15.6" x14ac:dyDescent="0.3">
      <c r="C56" s="35"/>
      <c r="D56" s="37"/>
      <c r="E56" s="37"/>
      <c r="F56" s="37"/>
      <c r="G56" s="37"/>
      <c r="H56" s="37"/>
    </row>
    <row r="57" spans="3:8" ht="15.6" x14ac:dyDescent="0.3">
      <c r="C57" s="35"/>
      <c r="D57" s="37"/>
      <c r="E57" s="37"/>
      <c r="F57" s="37"/>
      <c r="G57" s="37"/>
      <c r="H57" s="37"/>
    </row>
    <row r="58" spans="3:8" ht="15.6" x14ac:dyDescent="0.3">
      <c r="C58" s="35"/>
      <c r="D58" s="37"/>
      <c r="E58" s="37"/>
      <c r="F58" s="37"/>
      <c r="G58" s="37"/>
      <c r="H58" s="37"/>
    </row>
    <row r="59" spans="3:8" ht="15.6" x14ac:dyDescent="0.3">
      <c r="C59" s="35"/>
      <c r="D59" s="37"/>
      <c r="E59" s="37"/>
      <c r="F59" s="37"/>
      <c r="G59" s="37"/>
      <c r="H59" s="37"/>
    </row>
    <row r="60" spans="3:8" ht="15.6" x14ac:dyDescent="0.3">
      <c r="C60" s="35"/>
      <c r="D60" s="37"/>
      <c r="E60" s="37"/>
      <c r="F60" s="37"/>
      <c r="G60" s="37"/>
      <c r="H60" s="37"/>
    </row>
    <row r="61" spans="3:8" ht="15.6" x14ac:dyDescent="0.3">
      <c r="C61" s="35"/>
      <c r="D61" s="37"/>
      <c r="E61" s="37"/>
      <c r="F61" s="37"/>
      <c r="G61" s="37"/>
      <c r="H61" s="37"/>
    </row>
    <row r="62" spans="3:8" ht="15.6" x14ac:dyDescent="0.3">
      <c r="C62" s="35"/>
      <c r="D62" s="37"/>
      <c r="E62" s="37"/>
      <c r="F62" s="37"/>
      <c r="G62" s="37"/>
      <c r="H62" s="37"/>
    </row>
    <row r="63" spans="3:8" ht="15.6" x14ac:dyDescent="0.3">
      <c r="C63" s="35"/>
      <c r="D63" s="37"/>
      <c r="E63" s="37"/>
      <c r="F63" s="37"/>
      <c r="G63" s="37"/>
      <c r="H63" s="37"/>
    </row>
    <row r="64" spans="3:8" ht="15.6" x14ac:dyDescent="0.3">
      <c r="C64" s="35"/>
      <c r="D64" s="37"/>
      <c r="E64" s="37"/>
      <c r="F64" s="37"/>
      <c r="G64" s="37"/>
      <c r="H64" s="37"/>
    </row>
    <row r="65" spans="3:8" ht="15.6" x14ac:dyDescent="0.3">
      <c r="C65" s="35"/>
      <c r="D65" s="37"/>
      <c r="E65" s="37"/>
      <c r="F65" s="37"/>
      <c r="G65" s="37"/>
      <c r="H65" s="37"/>
    </row>
    <row r="66" spans="3:8" ht="15.6" x14ac:dyDescent="0.3">
      <c r="C66" s="35"/>
      <c r="D66" s="37"/>
      <c r="E66" s="37"/>
      <c r="F66" s="37"/>
      <c r="G66" s="37"/>
      <c r="H66" s="37"/>
    </row>
    <row r="67" spans="3:8" ht="15.6" x14ac:dyDescent="0.3">
      <c r="C67" s="35"/>
      <c r="D67" s="37"/>
      <c r="E67" s="37"/>
      <c r="F67" s="37"/>
      <c r="G67" s="37"/>
      <c r="H67" s="37"/>
    </row>
    <row r="68" spans="3:8" ht="15.6" x14ac:dyDescent="0.3">
      <c r="C68" s="35"/>
      <c r="D68" s="37"/>
      <c r="E68" s="37"/>
      <c r="F68" s="37"/>
      <c r="G68" s="37"/>
      <c r="H68" s="37"/>
    </row>
    <row r="69" spans="3:8" ht="15.6" x14ac:dyDescent="0.3">
      <c r="C69" s="35"/>
      <c r="D69" s="37"/>
      <c r="E69" s="37"/>
      <c r="F69" s="37"/>
      <c r="G69" s="37"/>
      <c r="H69" s="37"/>
    </row>
    <row r="70" spans="3:8" ht="15.6" x14ac:dyDescent="0.3">
      <c r="C70" s="35"/>
      <c r="D70" s="37"/>
      <c r="E70" s="37"/>
      <c r="F70" s="37"/>
      <c r="G70" s="37"/>
      <c r="H70" s="37"/>
    </row>
    <row r="71" spans="3:8" ht="15.6" x14ac:dyDescent="0.3">
      <c r="C71" s="35"/>
      <c r="D71" s="37"/>
      <c r="E71" s="37"/>
      <c r="F71" s="37"/>
      <c r="G71" s="37"/>
      <c r="H71" s="37"/>
    </row>
    <row r="72" spans="3:8" ht="15.6" x14ac:dyDescent="0.3">
      <c r="C72" s="35"/>
      <c r="D72" s="37"/>
      <c r="E72" s="37"/>
      <c r="F72" s="37"/>
      <c r="G72" s="37"/>
      <c r="H72" s="37"/>
    </row>
    <row r="73" spans="3:8" ht="15.6" x14ac:dyDescent="0.3">
      <c r="C73" s="35"/>
      <c r="D73" s="37"/>
      <c r="E73" s="37"/>
      <c r="F73" s="37"/>
      <c r="G73" s="37"/>
      <c r="H73" s="37"/>
    </row>
    <row r="74" spans="3:8" ht="15.6" x14ac:dyDescent="0.3">
      <c r="C74" s="35"/>
      <c r="D74" s="37"/>
      <c r="E74" s="37"/>
      <c r="F74" s="37"/>
      <c r="G74" s="37"/>
      <c r="H74" s="37"/>
    </row>
    <row r="75" spans="3:8" ht="15.6" x14ac:dyDescent="0.3">
      <c r="C75" s="35"/>
      <c r="D75" s="37"/>
      <c r="E75" s="37"/>
      <c r="F75" s="37"/>
      <c r="G75" s="37"/>
      <c r="H75" s="37"/>
    </row>
    <row r="76" spans="3:8" ht="15.6" x14ac:dyDescent="0.3">
      <c r="C76" s="35"/>
      <c r="D76" s="37"/>
      <c r="E76" s="37"/>
      <c r="F76" s="37"/>
      <c r="G76" s="37"/>
      <c r="H76" s="37"/>
    </row>
    <row r="77" spans="3:8" ht="15.6" x14ac:dyDescent="0.3">
      <c r="C77" s="35"/>
      <c r="D77" s="37"/>
      <c r="E77" s="37"/>
      <c r="F77" s="37"/>
      <c r="G77" s="37"/>
      <c r="H77" s="37"/>
    </row>
    <row r="78" spans="3:8" ht="15.6" x14ac:dyDescent="0.3">
      <c r="C78" s="35"/>
      <c r="D78" s="37"/>
      <c r="E78" s="37"/>
      <c r="F78" s="37"/>
      <c r="G78" s="37"/>
      <c r="H78" s="37"/>
    </row>
    <row r="79" spans="3:8" ht="15.6" x14ac:dyDescent="0.3">
      <c r="C79" s="35"/>
      <c r="D79" s="37"/>
      <c r="E79" s="37"/>
      <c r="F79" s="37"/>
      <c r="G79" s="37"/>
      <c r="H79" s="37"/>
    </row>
    <row r="80" spans="3:8" ht="15.6" x14ac:dyDescent="0.3">
      <c r="C80" s="35"/>
      <c r="D80" s="37"/>
      <c r="E80" s="37"/>
      <c r="F80" s="37"/>
      <c r="G80" s="37"/>
      <c r="H80" s="37"/>
    </row>
    <row r="81" spans="3:8" ht="15.6" x14ac:dyDescent="0.3">
      <c r="C81" s="35"/>
      <c r="D81" s="37"/>
      <c r="E81" s="37"/>
      <c r="F81" s="37"/>
      <c r="G81" s="37"/>
      <c r="H81" s="37"/>
    </row>
    <row r="82" spans="3:8" ht="15.6" x14ac:dyDescent="0.3">
      <c r="C82" s="35"/>
      <c r="D82" s="37"/>
      <c r="E82" s="37"/>
      <c r="F82" s="37"/>
      <c r="G82" s="37"/>
      <c r="H82" s="37"/>
    </row>
    <row r="83" spans="3:8" ht="15.6" x14ac:dyDescent="0.3">
      <c r="C83" s="35"/>
      <c r="D83" s="37"/>
      <c r="E83" s="37"/>
      <c r="F83" s="37"/>
      <c r="G83" s="37"/>
      <c r="H83" s="37"/>
    </row>
    <row r="84" spans="3:8" ht="15.6" x14ac:dyDescent="0.3">
      <c r="C84" s="35"/>
      <c r="D84" s="37"/>
      <c r="E84" s="37"/>
      <c r="F84" s="37"/>
      <c r="G84" s="37"/>
      <c r="H84" s="37"/>
    </row>
    <row r="85" spans="3:8" ht="15.6" x14ac:dyDescent="0.3">
      <c r="C85" s="35"/>
      <c r="D85" s="37"/>
      <c r="E85" s="37"/>
      <c r="F85" s="37"/>
      <c r="G85" s="37"/>
      <c r="H85" s="37"/>
    </row>
    <row r="86" spans="3:8" ht="15.6" x14ac:dyDescent="0.3">
      <c r="C86" s="35"/>
      <c r="D86" s="37"/>
      <c r="E86" s="37"/>
      <c r="F86" s="37"/>
      <c r="G86" s="37"/>
      <c r="H86" s="37"/>
    </row>
    <row r="87" spans="3:8" ht="15.6" x14ac:dyDescent="0.3">
      <c r="C87" s="35"/>
      <c r="D87" s="37"/>
      <c r="E87" s="37"/>
      <c r="F87" s="37"/>
      <c r="G87" s="37"/>
      <c r="H87" s="37"/>
    </row>
    <row r="88" spans="3:8" ht="15.6" x14ac:dyDescent="0.3">
      <c r="C88" s="35"/>
      <c r="D88" s="37"/>
      <c r="E88" s="37"/>
      <c r="F88" s="37"/>
      <c r="G88" s="37"/>
      <c r="H88" s="37"/>
    </row>
    <row r="89" spans="3:8" ht="15.6" x14ac:dyDescent="0.3">
      <c r="C89" s="35"/>
      <c r="D89" s="37"/>
      <c r="E89" s="37"/>
      <c r="F89" s="37"/>
      <c r="G89" s="37"/>
      <c r="H89" s="37"/>
    </row>
    <row r="90" spans="3:8" ht="15.6" x14ac:dyDescent="0.3">
      <c r="C90" s="35"/>
      <c r="D90" s="37"/>
      <c r="E90" s="37"/>
      <c r="F90" s="37"/>
      <c r="G90" s="37"/>
      <c r="H90" s="37"/>
    </row>
    <row r="91" spans="3:8" ht="15.6" x14ac:dyDescent="0.3">
      <c r="C91" s="35"/>
      <c r="D91" s="37"/>
      <c r="E91" s="37"/>
      <c r="F91" s="37"/>
      <c r="G91" s="37"/>
      <c r="H91" s="37"/>
    </row>
    <row r="92" spans="3:8" ht="15.6" x14ac:dyDescent="0.3">
      <c r="C92" s="35"/>
      <c r="D92" s="37"/>
      <c r="E92" s="37"/>
      <c r="F92" s="37"/>
      <c r="G92" s="37"/>
      <c r="H92" s="37"/>
    </row>
    <row r="93" spans="3:8" ht="15.6" x14ac:dyDescent="0.3">
      <c r="C93" s="35"/>
      <c r="D93" s="37"/>
      <c r="E93" s="37"/>
      <c r="F93" s="37"/>
      <c r="G93" s="37"/>
      <c r="H93" s="37"/>
    </row>
    <row r="94" spans="3:8" ht="15.6" x14ac:dyDescent="0.3">
      <c r="C94" s="35"/>
      <c r="D94" s="37"/>
      <c r="E94" s="37"/>
      <c r="F94" s="37"/>
      <c r="G94" s="37"/>
      <c r="H94" s="37"/>
    </row>
    <row r="95" spans="3:8" ht="15.6" x14ac:dyDescent="0.3">
      <c r="C95" s="35"/>
      <c r="D95" s="37"/>
      <c r="E95" s="37"/>
      <c r="F95" s="37"/>
      <c r="G95" s="37"/>
      <c r="H95" s="37"/>
    </row>
    <row r="96" spans="3:8" ht="15.6" x14ac:dyDescent="0.3">
      <c r="C96" s="35"/>
      <c r="D96" s="37"/>
      <c r="E96" s="37"/>
      <c r="F96" s="37"/>
      <c r="G96" s="37"/>
      <c r="H96" s="37"/>
    </row>
    <row r="97" spans="3:8" ht="15.6" x14ac:dyDescent="0.3">
      <c r="C97" s="35"/>
      <c r="D97" s="37"/>
      <c r="E97" s="37"/>
      <c r="F97" s="37"/>
      <c r="G97" s="37"/>
      <c r="H97" s="37"/>
    </row>
    <row r="98" spans="3:8" ht="15.6" x14ac:dyDescent="0.3">
      <c r="C98" s="35"/>
      <c r="D98" s="37"/>
      <c r="E98" s="37"/>
      <c r="F98" s="37"/>
      <c r="G98" s="37"/>
      <c r="H98" s="37"/>
    </row>
    <row r="99" spans="3:8" ht="15.6" x14ac:dyDescent="0.3">
      <c r="C99" s="35"/>
      <c r="D99" s="37"/>
      <c r="E99" s="37"/>
      <c r="F99" s="37"/>
      <c r="G99" s="37"/>
      <c r="H99" s="37"/>
    </row>
    <row r="100" spans="3:8" ht="15.6" x14ac:dyDescent="0.3">
      <c r="C100" s="35"/>
      <c r="D100" s="37"/>
      <c r="E100" s="37"/>
      <c r="F100" s="37"/>
      <c r="G100" s="37"/>
      <c r="H100" s="37"/>
    </row>
    <row r="101" spans="3:8" ht="15.6" x14ac:dyDescent="0.3">
      <c r="C101" s="35"/>
      <c r="D101" s="37"/>
      <c r="E101" s="37"/>
      <c r="F101" s="37"/>
      <c r="G101" s="37"/>
      <c r="H101" s="37"/>
    </row>
    <row r="102" spans="3:8" ht="15.6" x14ac:dyDescent="0.3">
      <c r="C102" s="35"/>
      <c r="D102" s="37"/>
      <c r="E102" s="37"/>
      <c r="F102" s="37"/>
      <c r="G102" s="37"/>
      <c r="H102" s="37"/>
    </row>
    <row r="103" spans="3:8" ht="15.6" x14ac:dyDescent="0.3">
      <c r="C103" s="35"/>
      <c r="D103" s="37"/>
      <c r="E103" s="37"/>
      <c r="F103" s="37"/>
      <c r="G103" s="37"/>
      <c r="H103" s="37"/>
    </row>
    <row r="104" spans="3:8" ht="15.6" x14ac:dyDescent="0.3">
      <c r="C104" s="35"/>
      <c r="D104" s="37"/>
      <c r="E104" s="37"/>
      <c r="F104" s="37"/>
      <c r="G104" s="37"/>
      <c r="H104" s="37"/>
    </row>
    <row r="105" spans="3:8" ht="15.6" x14ac:dyDescent="0.3">
      <c r="C105" s="35"/>
      <c r="D105" s="37"/>
      <c r="E105" s="37"/>
      <c r="F105" s="37"/>
      <c r="G105" s="37"/>
      <c r="H105" s="37"/>
    </row>
    <row r="106" spans="3:8" ht="15.6" x14ac:dyDescent="0.3">
      <c r="C106" s="35"/>
      <c r="D106" s="37"/>
      <c r="E106" s="37"/>
      <c r="F106" s="37"/>
      <c r="G106" s="37"/>
      <c r="H106" s="37"/>
    </row>
    <row r="107" spans="3:8" ht="15.6" x14ac:dyDescent="0.3">
      <c r="C107" s="35"/>
      <c r="D107" s="37"/>
      <c r="E107" s="37"/>
      <c r="F107" s="37"/>
      <c r="G107" s="37"/>
      <c r="H107" s="37"/>
    </row>
    <row r="108" spans="3:8" ht="15.6" x14ac:dyDescent="0.3">
      <c r="C108" s="35"/>
      <c r="D108" s="37"/>
      <c r="E108" s="37"/>
      <c r="F108" s="37"/>
      <c r="G108" s="37"/>
      <c r="H108" s="37"/>
    </row>
    <row r="109" spans="3:8" ht="15.6" x14ac:dyDescent="0.3">
      <c r="C109" s="35"/>
      <c r="D109" s="37"/>
      <c r="E109" s="37"/>
      <c r="F109" s="37"/>
      <c r="G109" s="37"/>
      <c r="H109" s="37"/>
    </row>
    <row r="110" spans="3:8" ht="15.6" x14ac:dyDescent="0.3">
      <c r="C110" s="35"/>
      <c r="D110" s="37"/>
      <c r="E110" s="37"/>
      <c r="F110" s="37"/>
      <c r="G110" s="37"/>
      <c r="H110" s="37"/>
    </row>
    <row r="111" spans="3:8" ht="15.6" x14ac:dyDescent="0.3">
      <c r="C111" s="35"/>
      <c r="D111" s="37"/>
      <c r="E111" s="37"/>
      <c r="F111" s="37"/>
      <c r="G111" s="37"/>
      <c r="H111" s="37"/>
    </row>
    <row r="112" spans="3:8" ht="15.6" x14ac:dyDescent="0.3">
      <c r="C112" s="35"/>
      <c r="D112" s="37"/>
      <c r="E112" s="37"/>
      <c r="F112" s="37"/>
      <c r="G112" s="37"/>
      <c r="H112" s="37"/>
    </row>
    <row r="113" spans="3:8" ht="15.6" x14ac:dyDescent="0.3">
      <c r="C113" s="35"/>
      <c r="D113" s="37"/>
      <c r="E113" s="37"/>
      <c r="F113" s="37"/>
      <c r="G113" s="37"/>
      <c r="H113" s="37"/>
    </row>
    <row r="114" spans="3:8" ht="15.6" x14ac:dyDescent="0.3">
      <c r="C114" s="35"/>
      <c r="D114" s="37"/>
      <c r="E114" s="37"/>
      <c r="F114" s="37"/>
      <c r="G114" s="37"/>
      <c r="H114" s="37"/>
    </row>
    <row r="115" spans="3:8" ht="15.6" x14ac:dyDescent="0.3">
      <c r="C115" s="35"/>
      <c r="D115" s="37"/>
      <c r="E115" s="37"/>
      <c r="F115" s="37"/>
      <c r="G115" s="37"/>
      <c r="H115" s="37"/>
    </row>
    <row r="116" spans="3:8" ht="15.6" x14ac:dyDescent="0.3">
      <c r="C116" s="35"/>
      <c r="D116" s="37"/>
      <c r="E116" s="37"/>
      <c r="F116" s="37"/>
      <c r="G116" s="37"/>
      <c r="H116" s="37"/>
    </row>
    <row r="117" spans="3:8" ht="15.6" x14ac:dyDescent="0.3">
      <c r="C117" s="35"/>
      <c r="D117" s="37"/>
      <c r="E117" s="37"/>
      <c r="F117" s="37"/>
      <c r="G117" s="37"/>
      <c r="H117" s="37"/>
    </row>
    <row r="118" spans="3:8" ht="15.6" x14ac:dyDescent="0.3">
      <c r="C118" s="35"/>
      <c r="D118" s="37"/>
      <c r="E118" s="37"/>
      <c r="F118" s="37"/>
      <c r="G118" s="37"/>
      <c r="H118" s="37"/>
    </row>
    <row r="119" spans="3:8" ht="15.6" x14ac:dyDescent="0.3">
      <c r="C119" s="35"/>
      <c r="D119" s="37"/>
      <c r="E119" s="37"/>
      <c r="F119" s="37"/>
      <c r="G119" s="37"/>
      <c r="H119" s="37"/>
    </row>
    <row r="120" spans="3:8" ht="15.6" x14ac:dyDescent="0.3">
      <c r="C120" s="35"/>
      <c r="D120" s="37"/>
      <c r="E120" s="37"/>
      <c r="F120" s="37"/>
      <c r="G120" s="37"/>
      <c r="H120" s="37"/>
    </row>
    <row r="121" spans="3:8" ht="15.6" x14ac:dyDescent="0.3">
      <c r="C121" s="35"/>
      <c r="D121" s="37"/>
      <c r="E121" s="37"/>
      <c r="F121" s="37"/>
      <c r="G121" s="37"/>
      <c r="H121" s="37"/>
    </row>
    <row r="122" spans="3:8" ht="15.6" x14ac:dyDescent="0.3">
      <c r="C122" s="35"/>
      <c r="D122" s="37"/>
      <c r="E122" s="37"/>
      <c r="F122" s="37"/>
      <c r="G122" s="37"/>
      <c r="H122" s="37"/>
    </row>
    <row r="123" spans="3:8" ht="15.6" x14ac:dyDescent="0.3">
      <c r="C123" s="35"/>
      <c r="D123" s="37"/>
      <c r="E123" s="37"/>
      <c r="F123" s="37"/>
      <c r="G123" s="37"/>
      <c r="H123" s="37"/>
    </row>
    <row r="124" spans="3:8" ht="15.6" x14ac:dyDescent="0.3">
      <c r="C124" s="35"/>
      <c r="D124" s="37"/>
      <c r="E124" s="37"/>
      <c r="F124" s="37"/>
      <c r="G124" s="37"/>
      <c r="H124" s="37"/>
    </row>
    <row r="125" spans="3:8" ht="15.6" x14ac:dyDescent="0.3">
      <c r="C125" s="35"/>
      <c r="D125" s="37"/>
      <c r="E125" s="37"/>
      <c r="F125" s="37"/>
      <c r="G125" s="37"/>
      <c r="H125" s="37"/>
    </row>
    <row r="126" spans="3:8" ht="15.6" x14ac:dyDescent="0.3">
      <c r="C126" s="35"/>
      <c r="D126" s="37"/>
      <c r="E126" s="37"/>
      <c r="F126" s="37"/>
      <c r="G126" s="37"/>
      <c r="H126" s="37"/>
    </row>
    <row r="127" spans="3:8" ht="15.6" x14ac:dyDescent="0.3">
      <c r="C127" s="35"/>
      <c r="D127" s="37"/>
      <c r="E127" s="37"/>
      <c r="F127" s="37"/>
      <c r="G127" s="37"/>
      <c r="H127" s="37"/>
    </row>
    <row r="128" spans="3:8" ht="15.6" x14ac:dyDescent="0.3">
      <c r="C128" s="35"/>
      <c r="D128" s="37"/>
      <c r="E128" s="37"/>
      <c r="F128" s="37"/>
      <c r="G128" s="37"/>
      <c r="H128" s="37"/>
    </row>
    <row r="129" spans="3:8" ht="15.6" x14ac:dyDescent="0.3">
      <c r="C129" s="35"/>
      <c r="D129" s="37"/>
      <c r="E129" s="37"/>
      <c r="F129" s="37"/>
      <c r="G129" s="37"/>
      <c r="H129" s="37"/>
    </row>
    <row r="130" spans="3:8" ht="15.6" x14ac:dyDescent="0.3">
      <c r="C130" s="35"/>
      <c r="D130" s="37"/>
      <c r="E130" s="37"/>
      <c r="F130" s="37"/>
      <c r="G130" s="37"/>
      <c r="H130" s="37"/>
    </row>
    <row r="131" spans="3:8" ht="15.6" x14ac:dyDescent="0.3">
      <c r="C131" s="35"/>
      <c r="D131" s="37"/>
      <c r="E131" s="37"/>
      <c r="F131" s="37"/>
      <c r="G131" s="37"/>
      <c r="H131" s="37"/>
    </row>
    <row r="132" spans="3:8" ht="15.6" x14ac:dyDescent="0.3">
      <c r="C132" s="35"/>
      <c r="D132" s="37"/>
      <c r="E132" s="37"/>
      <c r="F132" s="37"/>
      <c r="G132" s="37"/>
      <c r="H132" s="37"/>
    </row>
    <row r="133" spans="3:8" ht="15.6" x14ac:dyDescent="0.3">
      <c r="C133" s="35"/>
      <c r="D133" s="37"/>
      <c r="E133" s="37"/>
      <c r="F133" s="37"/>
      <c r="G133" s="37"/>
      <c r="H133" s="37"/>
    </row>
    <row r="134" spans="3:8" ht="15.6" x14ac:dyDescent="0.3">
      <c r="C134" s="35"/>
      <c r="D134" s="37"/>
      <c r="E134" s="37"/>
      <c r="F134" s="37"/>
      <c r="G134" s="37"/>
      <c r="H134" s="37"/>
    </row>
    <row r="135" spans="3:8" ht="15.6" x14ac:dyDescent="0.3">
      <c r="C135" s="35"/>
      <c r="D135" s="37"/>
      <c r="E135" s="37"/>
      <c r="F135" s="37"/>
      <c r="G135" s="37"/>
      <c r="H135" s="37"/>
    </row>
    <row r="136" spans="3:8" ht="15.6" x14ac:dyDescent="0.3">
      <c r="C136" s="35"/>
      <c r="D136" s="37"/>
      <c r="E136" s="37"/>
      <c r="F136" s="37"/>
      <c r="G136" s="37"/>
      <c r="H136" s="37"/>
    </row>
    <row r="137" spans="3:8" ht="15.6" x14ac:dyDescent="0.3">
      <c r="C137" s="35"/>
      <c r="D137" s="37"/>
      <c r="E137" s="37"/>
      <c r="F137" s="37"/>
      <c r="G137" s="37"/>
      <c r="H137" s="37"/>
    </row>
    <row r="138" spans="3:8" ht="15.6" x14ac:dyDescent="0.3">
      <c r="C138" s="35"/>
      <c r="D138" s="37"/>
      <c r="E138" s="37"/>
      <c r="F138" s="37"/>
      <c r="G138" s="37"/>
      <c r="H138" s="37"/>
    </row>
    <row r="139" spans="3:8" ht="15.6" x14ac:dyDescent="0.3">
      <c r="C139" s="35"/>
      <c r="D139" s="37"/>
      <c r="E139" s="37"/>
      <c r="F139" s="37"/>
      <c r="G139" s="37"/>
      <c r="H139" s="37"/>
    </row>
    <row r="140" spans="3:8" ht="15.6" x14ac:dyDescent="0.3">
      <c r="C140" s="35"/>
      <c r="D140" s="37"/>
      <c r="E140" s="37"/>
      <c r="F140" s="37"/>
      <c r="G140" s="37"/>
      <c r="H140" s="37"/>
    </row>
    <row r="141" spans="3:8" ht="15.6" x14ac:dyDescent="0.3">
      <c r="C141" s="35"/>
      <c r="D141" s="37"/>
      <c r="E141" s="37"/>
      <c r="F141" s="37"/>
      <c r="G141" s="37"/>
      <c r="H141" s="37"/>
    </row>
    <row r="142" spans="3:8" ht="15.6" x14ac:dyDescent="0.3">
      <c r="C142" s="35"/>
      <c r="D142" s="37"/>
      <c r="E142" s="37"/>
      <c r="F142" s="37"/>
      <c r="G142" s="37"/>
      <c r="H142" s="37"/>
    </row>
    <row r="143" spans="3:8" ht="15.6" x14ac:dyDescent="0.3">
      <c r="C143" s="35"/>
      <c r="D143" s="37"/>
      <c r="E143" s="37"/>
      <c r="F143" s="37"/>
      <c r="G143" s="37"/>
      <c r="H143" s="37"/>
    </row>
    <row r="144" spans="3:8" ht="15.6" x14ac:dyDescent="0.3">
      <c r="C144" s="35"/>
      <c r="D144" s="37"/>
      <c r="E144" s="37"/>
      <c r="F144" s="37"/>
      <c r="G144" s="37"/>
      <c r="H144" s="37"/>
    </row>
    <row r="145" spans="3:8" ht="15.6" x14ac:dyDescent="0.3">
      <c r="C145" s="35"/>
      <c r="D145" s="37"/>
      <c r="E145" s="37"/>
      <c r="F145" s="37"/>
      <c r="G145" s="37"/>
      <c r="H145" s="37"/>
    </row>
    <row r="146" spans="3:8" ht="15.6" x14ac:dyDescent="0.3">
      <c r="C146" s="35"/>
      <c r="D146" s="37"/>
      <c r="E146" s="37"/>
      <c r="F146" s="37"/>
      <c r="G146" s="37"/>
      <c r="H146" s="37"/>
    </row>
    <row r="147" spans="3:8" ht="15.6" x14ac:dyDescent="0.3">
      <c r="C147" s="35"/>
      <c r="D147" s="37"/>
      <c r="E147" s="37"/>
      <c r="F147" s="37"/>
      <c r="G147" s="37"/>
      <c r="H147" s="37"/>
    </row>
    <row r="148" spans="3:8" ht="15.6" x14ac:dyDescent="0.3">
      <c r="C148" s="35"/>
      <c r="D148" s="37"/>
      <c r="E148" s="37"/>
      <c r="F148" s="37"/>
      <c r="G148" s="37"/>
      <c r="H148" s="37"/>
    </row>
    <row r="149" spans="3:8" ht="15.6" x14ac:dyDescent="0.3">
      <c r="C149" s="35"/>
      <c r="D149" s="37"/>
      <c r="E149" s="37"/>
      <c r="F149" s="37"/>
      <c r="G149" s="37"/>
      <c r="H149" s="37"/>
    </row>
    <row r="150" spans="3:8" ht="15.6" x14ac:dyDescent="0.3">
      <c r="C150" s="35"/>
      <c r="D150" s="37"/>
      <c r="E150" s="37"/>
      <c r="F150" s="37"/>
      <c r="G150" s="37"/>
      <c r="H150" s="37"/>
    </row>
    <row r="151" spans="3:8" ht="15.6" x14ac:dyDescent="0.3">
      <c r="C151" s="35"/>
      <c r="D151" s="37"/>
      <c r="E151" s="37"/>
      <c r="F151" s="37"/>
      <c r="G151" s="37"/>
      <c r="H151" s="37"/>
    </row>
    <row r="152" spans="3:8" ht="15.6" x14ac:dyDescent="0.3">
      <c r="C152" s="35"/>
      <c r="D152" s="37"/>
      <c r="E152" s="37"/>
      <c r="F152" s="37"/>
      <c r="G152" s="37"/>
      <c r="H152" s="37"/>
    </row>
    <row r="153" spans="3:8" ht="15.6" x14ac:dyDescent="0.3">
      <c r="C153" s="35"/>
      <c r="D153" s="37"/>
      <c r="E153" s="37"/>
      <c r="F153" s="37"/>
      <c r="G153" s="37"/>
      <c r="H153" s="37"/>
    </row>
    <row r="154" spans="3:8" ht="15.6" x14ac:dyDescent="0.3">
      <c r="C154" s="35"/>
      <c r="D154" s="37"/>
      <c r="E154" s="37"/>
      <c r="F154" s="37"/>
      <c r="G154" s="37"/>
      <c r="H154" s="37"/>
    </row>
    <row r="155" spans="3:8" ht="15.6" x14ac:dyDescent="0.3">
      <c r="C155" s="35"/>
      <c r="D155" s="37"/>
      <c r="E155" s="37"/>
      <c r="F155" s="37"/>
      <c r="G155" s="37"/>
      <c r="H155" s="37"/>
    </row>
    <row r="156" spans="3:8" ht="15.6" x14ac:dyDescent="0.3">
      <c r="C156" s="35"/>
      <c r="D156" s="37"/>
      <c r="E156" s="37"/>
      <c r="F156" s="37"/>
      <c r="G156" s="37"/>
      <c r="H156" s="37"/>
    </row>
    <row r="157" spans="3:8" ht="15.6" x14ac:dyDescent="0.3">
      <c r="C157" s="35"/>
      <c r="D157" s="37"/>
      <c r="E157" s="37"/>
      <c r="F157" s="37"/>
      <c r="G157" s="37"/>
      <c r="H157" s="37"/>
    </row>
    <row r="158" spans="3:8" ht="15.6" x14ac:dyDescent="0.3">
      <c r="C158" s="35"/>
      <c r="D158" s="37"/>
      <c r="E158" s="37"/>
      <c r="F158" s="37"/>
      <c r="G158" s="37"/>
      <c r="H158" s="37"/>
    </row>
    <row r="159" spans="3:8" ht="15.6" x14ac:dyDescent="0.3">
      <c r="C159" s="35"/>
      <c r="D159" s="37"/>
      <c r="E159" s="37"/>
      <c r="F159" s="37"/>
      <c r="G159" s="37"/>
      <c r="H159" s="37"/>
    </row>
    <row r="160" spans="3:8" ht="15.6" x14ac:dyDescent="0.3">
      <c r="C160" s="35"/>
      <c r="D160" s="37"/>
      <c r="E160" s="37"/>
      <c r="F160" s="37"/>
      <c r="G160" s="37"/>
      <c r="H160" s="37"/>
    </row>
    <row r="161" spans="3:8" ht="15.6" x14ac:dyDescent="0.3">
      <c r="C161" s="35"/>
      <c r="D161" s="37"/>
      <c r="E161" s="37"/>
      <c r="F161" s="37"/>
      <c r="G161" s="37"/>
      <c r="H161" s="37"/>
    </row>
    <row r="162" spans="3:8" ht="15.6" x14ac:dyDescent="0.3">
      <c r="C162" s="35"/>
      <c r="D162" s="37"/>
      <c r="E162" s="37"/>
      <c r="F162" s="37"/>
      <c r="G162" s="37"/>
      <c r="H162" s="37"/>
    </row>
    <row r="163" spans="3:8" ht="15.6" x14ac:dyDescent="0.3">
      <c r="C163" s="35"/>
      <c r="D163" s="37"/>
      <c r="E163" s="37"/>
      <c r="F163" s="37"/>
      <c r="G163" s="37"/>
      <c r="H163" s="37"/>
    </row>
    <row r="164" spans="3:8" ht="15.6" x14ac:dyDescent="0.3">
      <c r="C164" s="35"/>
      <c r="D164" s="37"/>
      <c r="E164" s="37"/>
      <c r="F164" s="37"/>
      <c r="G164" s="37"/>
      <c r="H164" s="37"/>
    </row>
    <row r="165" spans="3:8" ht="15.6" x14ac:dyDescent="0.3">
      <c r="C165" s="35"/>
      <c r="D165" s="37"/>
      <c r="E165" s="37"/>
      <c r="F165" s="37"/>
      <c r="G165" s="37"/>
      <c r="H165" s="37"/>
    </row>
    <row r="166" spans="3:8" ht="15.6" x14ac:dyDescent="0.3">
      <c r="C166" s="35"/>
      <c r="D166" s="37"/>
      <c r="E166" s="37"/>
      <c r="F166" s="37"/>
      <c r="G166" s="37"/>
      <c r="H166" s="37"/>
    </row>
    <row r="167" spans="3:8" ht="15.6" x14ac:dyDescent="0.3">
      <c r="C167" s="35"/>
      <c r="D167" s="37"/>
      <c r="E167" s="37"/>
      <c r="F167" s="37"/>
      <c r="G167" s="37"/>
      <c r="H167" s="37"/>
    </row>
    <row r="168" spans="3:8" ht="15.6" x14ac:dyDescent="0.3">
      <c r="C168" s="35"/>
      <c r="D168" s="37"/>
      <c r="E168" s="37"/>
      <c r="F168" s="37"/>
      <c r="G168" s="37"/>
      <c r="H168" s="37"/>
    </row>
    <row r="169" spans="3:8" ht="15.6" x14ac:dyDescent="0.3">
      <c r="C169" s="35"/>
      <c r="D169" s="37"/>
      <c r="E169" s="37"/>
      <c r="F169" s="37"/>
      <c r="G169" s="37"/>
      <c r="H169" s="37"/>
    </row>
    <row r="170" spans="3:8" ht="15.6" x14ac:dyDescent="0.3">
      <c r="C170" s="35"/>
      <c r="D170" s="37"/>
      <c r="E170" s="37"/>
      <c r="F170" s="37"/>
      <c r="G170" s="37"/>
      <c r="H170" s="37"/>
    </row>
    <row r="171" spans="3:8" ht="15.6" x14ac:dyDescent="0.3">
      <c r="C171" s="35"/>
      <c r="D171" s="37"/>
      <c r="E171" s="37"/>
      <c r="F171" s="37"/>
      <c r="G171" s="37"/>
      <c r="H171" s="37"/>
    </row>
    <row r="172" spans="3:8" ht="15.6" x14ac:dyDescent="0.3">
      <c r="C172" s="35"/>
      <c r="D172" s="37"/>
      <c r="E172" s="37"/>
      <c r="F172" s="37"/>
      <c r="G172" s="37"/>
      <c r="H172" s="37"/>
    </row>
    <row r="173" spans="3:8" ht="15.6" x14ac:dyDescent="0.3">
      <c r="C173" s="35"/>
      <c r="D173" s="37"/>
      <c r="E173" s="37"/>
      <c r="F173" s="37"/>
      <c r="G173" s="37"/>
      <c r="H173" s="37"/>
    </row>
    <row r="174" spans="3:8" ht="15.6" x14ac:dyDescent="0.3">
      <c r="C174" s="35"/>
      <c r="D174" s="37"/>
      <c r="E174" s="37"/>
      <c r="F174" s="37"/>
      <c r="G174" s="37"/>
      <c r="H174" s="37"/>
    </row>
    <row r="175" spans="3:8" ht="15.6" x14ac:dyDescent="0.3">
      <c r="C175" s="35"/>
      <c r="D175" s="37"/>
      <c r="E175" s="37"/>
      <c r="F175" s="37"/>
      <c r="G175" s="37"/>
      <c r="H175" s="37"/>
    </row>
    <row r="176" spans="3:8" ht="15.6" x14ac:dyDescent="0.3">
      <c r="C176" s="35"/>
      <c r="D176" s="37"/>
      <c r="E176" s="37"/>
      <c r="F176" s="37"/>
      <c r="G176" s="37"/>
      <c r="H176" s="37"/>
    </row>
    <row r="177" spans="3:8" ht="15.6" x14ac:dyDescent="0.3">
      <c r="C177" s="35"/>
      <c r="D177" s="37"/>
      <c r="E177" s="37"/>
      <c r="F177" s="37"/>
      <c r="G177" s="37"/>
      <c r="H177" s="37"/>
    </row>
    <row r="178" spans="3:8" ht="15.6" x14ac:dyDescent="0.3">
      <c r="C178" s="35"/>
      <c r="D178" s="37"/>
      <c r="E178" s="37"/>
      <c r="F178" s="37"/>
      <c r="G178" s="37"/>
      <c r="H178" s="37"/>
    </row>
    <row r="179" spans="3:8" ht="15.6" x14ac:dyDescent="0.3">
      <c r="C179" s="35"/>
      <c r="D179" s="37"/>
      <c r="E179" s="37"/>
      <c r="F179" s="37"/>
      <c r="G179" s="37"/>
      <c r="H179" s="37"/>
    </row>
    <row r="180" spans="3:8" ht="15.6" x14ac:dyDescent="0.3">
      <c r="C180" s="35"/>
      <c r="D180" s="37"/>
      <c r="E180" s="37"/>
      <c r="F180" s="37"/>
      <c r="G180" s="37"/>
      <c r="H180" s="37"/>
    </row>
    <row r="181" spans="3:8" ht="15.6" x14ac:dyDescent="0.3">
      <c r="C181" s="35"/>
      <c r="D181" s="37"/>
      <c r="E181" s="37"/>
      <c r="F181" s="37"/>
      <c r="G181" s="37"/>
      <c r="H181" s="37"/>
    </row>
    <row r="182" spans="3:8" ht="15.6" x14ac:dyDescent="0.3">
      <c r="C182" s="35"/>
      <c r="D182" s="37"/>
      <c r="E182" s="37"/>
      <c r="F182" s="37"/>
      <c r="G182" s="37"/>
      <c r="H182" s="37"/>
    </row>
    <row r="183" spans="3:8" ht="15.6" x14ac:dyDescent="0.3">
      <c r="C183" s="35"/>
      <c r="D183" s="37"/>
      <c r="E183" s="37"/>
      <c r="F183" s="37"/>
      <c r="G183" s="37"/>
      <c r="H183" s="37"/>
    </row>
    <row r="184" spans="3:8" ht="15.6" x14ac:dyDescent="0.3">
      <c r="C184" s="35"/>
      <c r="D184" s="37"/>
      <c r="E184" s="37"/>
      <c r="F184" s="37"/>
      <c r="G184" s="37"/>
      <c r="H184" s="37"/>
    </row>
    <row r="185" spans="3:8" ht="15.6" x14ac:dyDescent="0.3">
      <c r="C185" s="35"/>
      <c r="D185" s="37"/>
      <c r="E185" s="37"/>
      <c r="F185" s="37"/>
      <c r="G185" s="37"/>
      <c r="H185" s="37"/>
    </row>
    <row r="186" spans="3:8" ht="15.6" x14ac:dyDescent="0.3">
      <c r="C186" s="35"/>
      <c r="D186" s="37"/>
      <c r="E186" s="37"/>
      <c r="F186" s="37"/>
      <c r="G186" s="37"/>
      <c r="H186" s="37"/>
    </row>
    <row r="187" spans="3:8" ht="15.6" x14ac:dyDescent="0.3">
      <c r="C187" s="35"/>
      <c r="D187" s="37"/>
      <c r="E187" s="37"/>
      <c r="F187" s="37"/>
      <c r="G187" s="37"/>
      <c r="H187" s="37"/>
    </row>
    <row r="188" spans="3:8" ht="15.6" x14ac:dyDescent="0.3">
      <c r="C188" s="35"/>
      <c r="D188" s="37"/>
      <c r="E188" s="37"/>
      <c r="F188" s="37"/>
      <c r="G188" s="37"/>
      <c r="H188" s="37"/>
    </row>
    <row r="189" spans="3:8" ht="15.6" x14ac:dyDescent="0.3">
      <c r="C189" s="35"/>
      <c r="D189" s="37"/>
      <c r="E189" s="37"/>
      <c r="F189" s="37"/>
      <c r="G189" s="37"/>
      <c r="H189" s="37"/>
    </row>
    <row r="190" spans="3:8" ht="15.6" x14ac:dyDescent="0.3">
      <c r="C190" s="35"/>
      <c r="D190" s="37"/>
      <c r="E190" s="37"/>
      <c r="F190" s="37"/>
      <c r="G190" s="37"/>
      <c r="H190" s="37"/>
    </row>
    <row r="191" spans="3:8" ht="15.6" x14ac:dyDescent="0.3">
      <c r="C191" s="35"/>
      <c r="D191" s="37"/>
      <c r="E191" s="37"/>
      <c r="F191" s="37"/>
      <c r="G191" s="37"/>
      <c r="H191" s="37"/>
    </row>
    <row r="192" spans="3:8" ht="15.6" x14ac:dyDescent="0.3">
      <c r="C192" s="35"/>
      <c r="D192" s="37"/>
      <c r="E192" s="37"/>
      <c r="F192" s="37"/>
      <c r="G192" s="37"/>
      <c r="H192" s="37"/>
    </row>
    <row r="193" spans="3:8" ht="15.6" x14ac:dyDescent="0.3">
      <c r="C193" s="35"/>
      <c r="D193" s="37"/>
      <c r="E193" s="37"/>
      <c r="F193" s="37"/>
      <c r="G193" s="37"/>
      <c r="H193" s="37"/>
    </row>
    <row r="194" spans="3:8" ht="15.6" x14ac:dyDescent="0.3">
      <c r="C194" s="35"/>
      <c r="D194" s="37"/>
      <c r="E194" s="37"/>
      <c r="F194" s="37"/>
      <c r="G194" s="37"/>
      <c r="H194" s="37"/>
    </row>
    <row r="195" spans="3:8" ht="15.6" x14ac:dyDescent="0.3">
      <c r="C195" s="35"/>
      <c r="D195" s="37"/>
      <c r="E195" s="37"/>
      <c r="F195" s="37"/>
      <c r="G195" s="37"/>
      <c r="H195" s="37"/>
    </row>
    <row r="196" spans="3:8" ht="15.6" x14ac:dyDescent="0.3">
      <c r="C196" s="35"/>
      <c r="D196" s="37"/>
      <c r="E196" s="37"/>
      <c r="F196" s="37"/>
      <c r="G196" s="37"/>
      <c r="H196" s="37"/>
    </row>
    <row r="197" spans="3:8" ht="15.6" x14ac:dyDescent="0.3">
      <c r="C197" s="35"/>
      <c r="D197" s="37"/>
      <c r="E197" s="37"/>
      <c r="F197" s="37"/>
      <c r="G197" s="37"/>
      <c r="H197" s="37"/>
    </row>
    <row r="198" spans="3:8" ht="15.6" x14ac:dyDescent="0.3">
      <c r="C198" s="35"/>
      <c r="D198" s="37"/>
      <c r="E198" s="37"/>
      <c r="F198" s="37"/>
      <c r="G198" s="37"/>
      <c r="H198" s="37"/>
    </row>
    <row r="199" spans="3:8" ht="15.6" x14ac:dyDescent="0.3">
      <c r="C199" s="35"/>
      <c r="D199" s="37"/>
      <c r="E199" s="37"/>
      <c r="F199" s="37"/>
      <c r="G199" s="37"/>
      <c r="H199" s="37"/>
    </row>
    <row r="200" spans="3:8" ht="15.6" x14ac:dyDescent="0.3">
      <c r="C200" s="35"/>
      <c r="D200" s="37"/>
      <c r="E200" s="37"/>
      <c r="F200" s="37"/>
      <c r="G200" s="37"/>
      <c r="H200" s="37"/>
    </row>
    <row r="201" spans="3:8" ht="15.6" x14ac:dyDescent="0.3">
      <c r="C201" s="35"/>
      <c r="D201" s="37"/>
      <c r="E201" s="37"/>
      <c r="F201" s="37"/>
      <c r="G201" s="37"/>
      <c r="H201" s="37"/>
    </row>
    <row r="202" spans="3:8" ht="15.6" x14ac:dyDescent="0.3">
      <c r="C202" s="35"/>
      <c r="D202" s="37"/>
      <c r="E202" s="37"/>
      <c r="F202" s="37"/>
      <c r="G202" s="37"/>
      <c r="H202" s="37"/>
    </row>
    <row r="203" spans="3:8" ht="15.6" x14ac:dyDescent="0.3">
      <c r="C203" s="35"/>
      <c r="D203" s="37"/>
      <c r="E203" s="37"/>
      <c r="F203" s="37"/>
      <c r="G203" s="37"/>
      <c r="H203" s="37"/>
    </row>
    <row r="204" spans="3:8" ht="15.6" x14ac:dyDescent="0.3">
      <c r="C204" s="35"/>
      <c r="D204" s="37"/>
      <c r="E204" s="37"/>
      <c r="F204" s="37"/>
      <c r="G204" s="37"/>
      <c r="H204" s="37"/>
    </row>
    <row r="205" spans="3:8" ht="15.6" x14ac:dyDescent="0.3">
      <c r="C205" s="35"/>
      <c r="D205" s="37"/>
      <c r="E205" s="37"/>
      <c r="F205" s="37"/>
      <c r="G205" s="37"/>
      <c r="H205" s="37"/>
    </row>
    <row r="206" spans="3:8" ht="15.6" x14ac:dyDescent="0.3">
      <c r="C206" s="35"/>
      <c r="D206" s="37"/>
      <c r="E206" s="37"/>
      <c r="F206" s="37"/>
      <c r="G206" s="37"/>
      <c r="H206" s="37"/>
    </row>
    <row r="207" spans="3:8" ht="15.6" x14ac:dyDescent="0.3">
      <c r="C207" s="35"/>
      <c r="D207" s="37"/>
      <c r="E207" s="37"/>
      <c r="F207" s="37"/>
      <c r="G207" s="37"/>
      <c r="H207" s="37"/>
    </row>
    <row r="208" spans="3:8" ht="15.6" x14ac:dyDescent="0.3">
      <c r="C208" s="35"/>
      <c r="D208" s="37"/>
      <c r="E208" s="37"/>
      <c r="F208" s="37"/>
      <c r="G208" s="37"/>
      <c r="H208" s="37"/>
    </row>
    <row r="209" spans="3:8" ht="15.6" x14ac:dyDescent="0.3">
      <c r="C209" s="35"/>
      <c r="D209" s="37"/>
      <c r="E209" s="37"/>
      <c r="F209" s="37"/>
      <c r="G209" s="37"/>
      <c r="H209" s="37"/>
    </row>
    <row r="210" spans="3:8" ht="15.6" x14ac:dyDescent="0.3">
      <c r="C210" s="35"/>
      <c r="D210" s="37"/>
      <c r="E210" s="37"/>
      <c r="F210" s="37"/>
      <c r="G210" s="37"/>
      <c r="H210" s="37"/>
    </row>
    <row r="211" spans="3:8" ht="15.6" x14ac:dyDescent="0.3">
      <c r="C211" s="35"/>
      <c r="D211" s="37"/>
      <c r="E211" s="37"/>
      <c r="F211" s="37"/>
      <c r="G211" s="37"/>
      <c r="H211" s="37"/>
    </row>
    <row r="212" spans="3:8" ht="15.6" x14ac:dyDescent="0.3">
      <c r="C212" s="35"/>
      <c r="D212" s="37"/>
      <c r="E212" s="37"/>
      <c r="F212" s="37"/>
      <c r="G212" s="37"/>
      <c r="H212" s="37"/>
    </row>
    <row r="213" spans="3:8" ht="15.6" x14ac:dyDescent="0.3">
      <c r="C213" s="35"/>
      <c r="D213" s="37"/>
      <c r="E213" s="37"/>
      <c r="F213" s="37"/>
      <c r="G213" s="37"/>
      <c r="H213" s="37"/>
    </row>
    <row r="214" spans="3:8" ht="15.6" x14ac:dyDescent="0.3">
      <c r="C214" s="35"/>
      <c r="D214" s="37"/>
      <c r="E214" s="37"/>
      <c r="F214" s="37"/>
      <c r="G214" s="37"/>
      <c r="H214" s="37"/>
    </row>
    <row r="215" spans="3:8" ht="15.6" x14ac:dyDescent="0.3">
      <c r="C215" s="35"/>
      <c r="D215" s="37"/>
      <c r="E215" s="37"/>
      <c r="F215" s="37"/>
      <c r="G215" s="37"/>
      <c r="H215" s="37"/>
    </row>
    <row r="216" spans="3:8" ht="15.6" x14ac:dyDescent="0.3">
      <c r="C216" s="35"/>
      <c r="D216" s="37"/>
      <c r="E216" s="37"/>
      <c r="F216" s="37"/>
      <c r="G216" s="37"/>
      <c r="H216" s="37"/>
    </row>
    <row r="217" spans="3:8" ht="15.6" x14ac:dyDescent="0.3">
      <c r="C217" s="35"/>
      <c r="D217" s="37"/>
      <c r="E217" s="37"/>
      <c r="F217" s="37"/>
      <c r="G217" s="37"/>
      <c r="H217" s="37"/>
    </row>
    <row r="218" spans="3:8" ht="15.6" x14ac:dyDescent="0.3">
      <c r="C218" s="35"/>
      <c r="D218" s="37"/>
      <c r="E218" s="37"/>
      <c r="F218" s="37"/>
      <c r="G218" s="37"/>
      <c r="H218" s="37"/>
    </row>
    <row r="219" spans="3:8" ht="15.6" x14ac:dyDescent="0.3">
      <c r="C219" s="35"/>
      <c r="D219" s="37"/>
      <c r="E219" s="37"/>
      <c r="F219" s="37"/>
      <c r="G219" s="37"/>
      <c r="H219" s="37"/>
    </row>
    <row r="220" spans="3:8" ht="15.6" x14ac:dyDescent="0.3">
      <c r="C220" s="35"/>
      <c r="D220" s="37"/>
      <c r="E220" s="37"/>
      <c r="F220" s="37"/>
      <c r="G220" s="37"/>
      <c r="H220" s="37"/>
    </row>
    <row r="221" spans="3:8" ht="15.6" x14ac:dyDescent="0.3">
      <c r="C221" s="35"/>
      <c r="D221" s="37"/>
      <c r="E221" s="37"/>
      <c r="F221" s="37"/>
      <c r="G221" s="37"/>
      <c r="H221" s="37"/>
    </row>
    <row r="222" spans="3:8" ht="15.6" x14ac:dyDescent="0.3">
      <c r="C222" s="35"/>
      <c r="D222" s="37"/>
      <c r="E222" s="37"/>
      <c r="F222" s="37"/>
      <c r="G222" s="37"/>
      <c r="H222" s="37"/>
    </row>
    <row r="223" spans="3:8" ht="15.6" x14ac:dyDescent="0.3">
      <c r="C223" s="35"/>
      <c r="D223" s="37"/>
      <c r="E223" s="37"/>
      <c r="F223" s="37"/>
      <c r="G223" s="37"/>
      <c r="H223" s="37"/>
    </row>
    <row r="224" spans="3:8" ht="15.6" x14ac:dyDescent="0.3">
      <c r="C224" s="35"/>
      <c r="D224" s="37"/>
      <c r="E224" s="37"/>
      <c r="F224" s="37"/>
      <c r="G224" s="37"/>
      <c r="H224" s="37"/>
    </row>
    <row r="225" spans="3:8" ht="15.6" x14ac:dyDescent="0.3">
      <c r="C225" s="35"/>
      <c r="D225" s="37"/>
      <c r="E225" s="37"/>
      <c r="F225" s="37"/>
      <c r="G225" s="37"/>
      <c r="H225" s="37"/>
    </row>
    <row r="226" spans="3:8" ht="15.6" x14ac:dyDescent="0.3">
      <c r="C226" s="35"/>
      <c r="D226" s="37"/>
      <c r="E226" s="37"/>
      <c r="F226" s="37"/>
      <c r="G226" s="37"/>
      <c r="H226" s="37"/>
    </row>
    <row r="227" spans="3:8" ht="15.6" x14ac:dyDescent="0.3">
      <c r="C227" s="35"/>
      <c r="D227" s="37"/>
      <c r="E227" s="37"/>
      <c r="F227" s="37"/>
      <c r="G227" s="37"/>
      <c r="H227" s="37"/>
    </row>
    <row r="228" spans="3:8" ht="15.6" x14ac:dyDescent="0.3">
      <c r="C228" s="35"/>
      <c r="D228" s="37"/>
      <c r="E228" s="37"/>
      <c r="F228" s="37"/>
      <c r="G228" s="37"/>
      <c r="H228" s="37"/>
    </row>
    <row r="229" spans="3:8" ht="15.6" x14ac:dyDescent="0.3">
      <c r="C229" s="35"/>
      <c r="D229" s="37"/>
      <c r="E229" s="37"/>
      <c r="F229" s="37"/>
      <c r="G229" s="37"/>
      <c r="H229" s="37"/>
    </row>
    <row r="230" spans="3:8" ht="15.6" x14ac:dyDescent="0.3">
      <c r="C230" s="35"/>
      <c r="D230" s="37"/>
      <c r="E230" s="37"/>
      <c r="F230" s="37"/>
      <c r="G230" s="37"/>
      <c r="H230" s="37"/>
    </row>
    <row r="231" spans="3:8" ht="15.6" x14ac:dyDescent="0.3">
      <c r="C231" s="35"/>
      <c r="D231" s="37"/>
      <c r="E231" s="37"/>
      <c r="F231" s="37"/>
      <c r="G231" s="37"/>
      <c r="H231" s="37"/>
    </row>
    <row r="232" spans="3:8" ht="15.6" x14ac:dyDescent="0.3">
      <c r="C232" s="35"/>
      <c r="D232" s="37"/>
      <c r="E232" s="37"/>
      <c r="F232" s="37"/>
      <c r="G232" s="37"/>
      <c r="H232" s="37"/>
    </row>
    <row r="233" spans="3:8" ht="15.6" x14ac:dyDescent="0.3">
      <c r="C233" s="35"/>
      <c r="D233" s="37"/>
      <c r="E233" s="37"/>
      <c r="F233" s="37"/>
      <c r="G233" s="37"/>
      <c r="H233" s="37"/>
    </row>
    <row r="234" spans="3:8" ht="15.6" x14ac:dyDescent="0.3">
      <c r="C234" s="35"/>
      <c r="D234" s="37"/>
      <c r="E234" s="37"/>
      <c r="F234" s="37"/>
      <c r="G234" s="37"/>
      <c r="H234" s="37"/>
    </row>
    <row r="235" spans="3:8" ht="15.6" x14ac:dyDescent="0.3">
      <c r="C235" s="35"/>
      <c r="D235" s="37"/>
      <c r="E235" s="37"/>
      <c r="F235" s="37"/>
      <c r="G235" s="37"/>
      <c r="H235" s="37"/>
    </row>
    <row r="236" spans="3:8" ht="15.6" x14ac:dyDescent="0.3">
      <c r="C236" s="35"/>
      <c r="D236" s="37"/>
      <c r="E236" s="37"/>
      <c r="F236" s="37"/>
      <c r="G236" s="37"/>
      <c r="H236" s="37"/>
    </row>
    <row r="237" spans="3:8" ht="15.6" x14ac:dyDescent="0.3">
      <c r="C237" s="35"/>
      <c r="D237" s="37"/>
      <c r="E237" s="37"/>
      <c r="F237" s="37"/>
      <c r="G237" s="37"/>
      <c r="H237" s="37"/>
    </row>
    <row r="238" spans="3:8" ht="15.6" x14ac:dyDescent="0.3">
      <c r="C238" s="35"/>
      <c r="D238" s="37"/>
      <c r="E238" s="37"/>
      <c r="F238" s="37"/>
      <c r="G238" s="37"/>
      <c r="H238" s="37"/>
    </row>
    <row r="239" spans="3:8" ht="15.6" x14ac:dyDescent="0.3">
      <c r="C239" s="35"/>
      <c r="D239" s="37"/>
      <c r="E239" s="37"/>
      <c r="F239" s="37"/>
      <c r="G239" s="37"/>
      <c r="H239" s="37"/>
    </row>
    <row r="240" spans="3:8" ht="15.6" x14ac:dyDescent="0.3">
      <c r="C240" s="35"/>
      <c r="D240" s="37"/>
      <c r="E240" s="37"/>
      <c r="F240" s="37"/>
      <c r="G240" s="37"/>
      <c r="H240" s="37"/>
    </row>
    <row r="241" spans="3:8" ht="15.6" x14ac:dyDescent="0.3">
      <c r="C241" s="35"/>
      <c r="D241" s="37"/>
      <c r="E241" s="37"/>
      <c r="F241" s="37"/>
      <c r="G241" s="37"/>
      <c r="H241" s="37"/>
    </row>
    <row r="242" spans="3:8" ht="15.6" x14ac:dyDescent="0.3">
      <c r="C242" s="35"/>
      <c r="D242" s="37"/>
      <c r="E242" s="37"/>
      <c r="F242" s="37"/>
      <c r="G242" s="37"/>
      <c r="H242" s="37"/>
    </row>
    <row r="243" spans="3:8" ht="15.6" x14ac:dyDescent="0.3">
      <c r="C243" s="35"/>
      <c r="D243" s="37"/>
      <c r="E243" s="37"/>
      <c r="F243" s="37"/>
      <c r="G243" s="37"/>
      <c r="H243" s="37"/>
    </row>
    <row r="244" spans="3:8" ht="15.6" x14ac:dyDescent="0.3">
      <c r="C244" s="35"/>
      <c r="D244" s="37"/>
      <c r="E244" s="37"/>
      <c r="F244" s="37"/>
      <c r="G244" s="37"/>
      <c r="H244" s="37"/>
    </row>
    <row r="245" spans="3:8" ht="15.6" x14ac:dyDescent="0.3">
      <c r="C245" s="35"/>
      <c r="D245" s="37"/>
      <c r="E245" s="37"/>
      <c r="F245" s="37"/>
      <c r="G245" s="37"/>
      <c r="H245" s="37"/>
    </row>
    <row r="246" spans="3:8" ht="15.6" x14ac:dyDescent="0.3">
      <c r="C246" s="35"/>
      <c r="D246" s="37"/>
      <c r="E246" s="37"/>
      <c r="F246" s="37"/>
      <c r="G246" s="37"/>
      <c r="H246" s="37"/>
    </row>
    <row r="247" spans="3:8" ht="15.6" x14ac:dyDescent="0.3">
      <c r="C247" s="35"/>
      <c r="D247" s="37"/>
      <c r="E247" s="37"/>
      <c r="F247" s="37"/>
      <c r="G247" s="37"/>
      <c r="H247" s="37"/>
    </row>
    <row r="248" spans="3:8" ht="15.6" x14ac:dyDescent="0.3">
      <c r="C248" s="35"/>
      <c r="D248" s="37"/>
      <c r="E248" s="37"/>
      <c r="F248" s="37"/>
      <c r="G248" s="37"/>
      <c r="H248" s="37"/>
    </row>
    <row r="249" spans="3:8" ht="15.6" x14ac:dyDescent="0.3">
      <c r="C249" s="35"/>
      <c r="D249" s="37"/>
      <c r="E249" s="37"/>
      <c r="F249" s="37"/>
      <c r="G249" s="37"/>
      <c r="H249" s="37"/>
    </row>
    <row r="250" spans="3:8" ht="15.6" x14ac:dyDescent="0.3">
      <c r="C250" s="35"/>
      <c r="D250" s="37"/>
      <c r="E250" s="37"/>
      <c r="F250" s="37"/>
      <c r="G250" s="37"/>
      <c r="H250" s="37"/>
    </row>
    <row r="251" spans="3:8" ht="15.6" x14ac:dyDescent="0.3">
      <c r="C251" s="35"/>
      <c r="D251" s="37"/>
      <c r="E251" s="37"/>
      <c r="F251" s="37"/>
      <c r="G251" s="37"/>
      <c r="H251" s="37"/>
    </row>
    <row r="252" spans="3:8" ht="15.6" x14ac:dyDescent="0.3">
      <c r="C252" s="35"/>
      <c r="D252" s="37"/>
      <c r="E252" s="37"/>
      <c r="F252" s="37"/>
      <c r="G252" s="37"/>
      <c r="H252" s="37"/>
    </row>
    <row r="253" spans="3:8" ht="15.6" x14ac:dyDescent="0.3">
      <c r="C253" s="35"/>
      <c r="D253" s="37"/>
      <c r="E253" s="37"/>
      <c r="F253" s="37"/>
      <c r="G253" s="37"/>
      <c r="H253" s="37"/>
    </row>
    <row r="254" spans="3:8" ht="15.6" x14ac:dyDescent="0.3">
      <c r="C254" s="35"/>
      <c r="D254" s="37"/>
      <c r="E254" s="37"/>
      <c r="F254" s="37"/>
      <c r="G254" s="37"/>
      <c r="H254" s="37"/>
    </row>
    <row r="255" spans="3:8" ht="15.6" x14ac:dyDescent="0.3">
      <c r="C255" s="35"/>
      <c r="D255" s="37"/>
      <c r="E255" s="37"/>
      <c r="F255" s="37"/>
      <c r="G255" s="37"/>
      <c r="H255" s="37"/>
    </row>
    <row r="256" spans="3:8" ht="15.6" x14ac:dyDescent="0.3">
      <c r="C256" s="35"/>
      <c r="D256" s="37"/>
      <c r="E256" s="37"/>
      <c r="F256" s="37"/>
      <c r="G256" s="37"/>
      <c r="H256" s="37"/>
    </row>
    <row r="257" spans="3:8" ht="15.6" x14ac:dyDescent="0.3">
      <c r="C257" s="35"/>
      <c r="D257" s="37"/>
      <c r="E257" s="37"/>
      <c r="F257" s="37"/>
      <c r="G257" s="37"/>
      <c r="H257" s="37"/>
    </row>
    <row r="258" spans="3:8" ht="15.6" x14ac:dyDescent="0.3">
      <c r="C258" s="35"/>
      <c r="D258" s="37"/>
      <c r="E258" s="37"/>
      <c r="F258" s="37"/>
      <c r="G258" s="37"/>
      <c r="H258" s="37"/>
    </row>
    <row r="259" spans="3:8" ht="15.6" x14ac:dyDescent="0.3">
      <c r="C259" s="35"/>
      <c r="D259" s="37"/>
      <c r="E259" s="37"/>
      <c r="F259" s="37"/>
      <c r="G259" s="37"/>
      <c r="H259" s="37"/>
    </row>
    <row r="260" spans="3:8" ht="15.6" x14ac:dyDescent="0.3">
      <c r="C260" s="35"/>
      <c r="D260" s="37"/>
      <c r="E260" s="37"/>
      <c r="F260" s="37"/>
      <c r="G260" s="37"/>
      <c r="H260" s="37"/>
    </row>
    <row r="261" spans="3:8" ht="15.6" x14ac:dyDescent="0.3">
      <c r="C261" s="35"/>
      <c r="D261" s="37"/>
      <c r="E261" s="37"/>
      <c r="F261" s="37"/>
      <c r="G261" s="37"/>
      <c r="H261" s="37"/>
    </row>
    <row r="262" spans="3:8" ht="15.6" x14ac:dyDescent="0.3">
      <c r="C262" s="35"/>
      <c r="D262" s="37"/>
      <c r="E262" s="37"/>
      <c r="F262" s="37"/>
      <c r="G262" s="37"/>
      <c r="H262" s="37"/>
    </row>
    <row r="263" spans="3:8" ht="15.6" x14ac:dyDescent="0.3">
      <c r="C263" s="35"/>
      <c r="D263" s="37"/>
      <c r="E263" s="37"/>
      <c r="F263" s="37"/>
      <c r="G263" s="37"/>
      <c r="H263" s="37"/>
    </row>
    <row r="264" spans="3:8" ht="15.6" x14ac:dyDescent="0.3">
      <c r="C264" s="35"/>
      <c r="D264" s="37"/>
      <c r="E264" s="37"/>
      <c r="F264" s="37"/>
      <c r="G264" s="37"/>
      <c r="H264" s="37"/>
    </row>
    <row r="265" spans="3:8" ht="15.6" x14ac:dyDescent="0.3">
      <c r="C265" s="35"/>
      <c r="D265" s="37"/>
      <c r="E265" s="37"/>
      <c r="F265" s="37"/>
      <c r="G265" s="37"/>
      <c r="H265" s="37"/>
    </row>
    <row r="266" spans="3:8" ht="15.6" x14ac:dyDescent="0.3">
      <c r="C266" s="35"/>
      <c r="D266" s="37"/>
      <c r="E266" s="37"/>
      <c r="F266" s="37"/>
      <c r="G266" s="37"/>
      <c r="H266" s="37"/>
    </row>
    <row r="267" spans="3:8" ht="15.6" x14ac:dyDescent="0.3">
      <c r="C267" s="35"/>
      <c r="D267" s="37"/>
      <c r="E267" s="37"/>
      <c r="F267" s="37"/>
      <c r="G267" s="37"/>
      <c r="H267" s="37"/>
    </row>
    <row r="268" spans="3:8" ht="15.6" x14ac:dyDescent="0.3">
      <c r="C268" s="35"/>
      <c r="D268" s="37"/>
      <c r="E268" s="37"/>
      <c r="F268" s="37"/>
      <c r="G268" s="37"/>
      <c r="H268" s="37"/>
    </row>
    <row r="269" spans="3:8" ht="15.6" x14ac:dyDescent="0.3">
      <c r="C269" s="35"/>
      <c r="D269" s="37"/>
      <c r="E269" s="37"/>
      <c r="F269" s="37"/>
      <c r="G269" s="37"/>
      <c r="H269" s="37"/>
    </row>
    <row r="270" spans="3:8" ht="15.6" x14ac:dyDescent="0.3">
      <c r="C270" s="35"/>
      <c r="D270" s="37"/>
      <c r="E270" s="37"/>
      <c r="F270" s="37"/>
      <c r="G270" s="37"/>
      <c r="H270" s="37"/>
    </row>
    <row r="271" spans="3:8" ht="15.6" x14ac:dyDescent="0.3">
      <c r="C271" s="35"/>
      <c r="D271" s="37"/>
      <c r="E271" s="37"/>
      <c r="F271" s="37"/>
      <c r="G271" s="37"/>
      <c r="H271" s="37"/>
    </row>
    <row r="272" spans="3:8" ht="15.6" x14ac:dyDescent="0.3">
      <c r="C272" s="35"/>
      <c r="D272" s="37"/>
      <c r="E272" s="37"/>
      <c r="F272" s="37"/>
      <c r="G272" s="37"/>
      <c r="H272" s="37"/>
    </row>
    <row r="273" spans="3:8" ht="15.6" x14ac:dyDescent="0.3">
      <c r="C273" s="35"/>
      <c r="D273" s="37"/>
      <c r="E273" s="37"/>
      <c r="F273" s="37"/>
      <c r="G273" s="37"/>
      <c r="H273" s="37"/>
    </row>
    <row r="274" spans="3:8" ht="15.6" x14ac:dyDescent="0.3">
      <c r="C274" s="35"/>
      <c r="D274" s="37"/>
      <c r="E274" s="37"/>
      <c r="F274" s="37"/>
      <c r="G274" s="37"/>
      <c r="H274" s="37"/>
    </row>
    <row r="275" spans="3:8" ht="15.6" x14ac:dyDescent="0.3">
      <c r="C275" s="35"/>
      <c r="D275" s="37"/>
      <c r="E275" s="37"/>
      <c r="F275" s="37"/>
      <c r="G275" s="37"/>
      <c r="H275" s="37"/>
    </row>
    <row r="276" spans="3:8" ht="15.6" x14ac:dyDescent="0.3">
      <c r="C276" s="35"/>
      <c r="D276" s="37"/>
      <c r="E276" s="37"/>
      <c r="F276" s="37"/>
      <c r="G276" s="37"/>
      <c r="H276" s="37"/>
    </row>
    <row r="277" spans="3:8" ht="15.6" x14ac:dyDescent="0.3">
      <c r="C277" s="35"/>
      <c r="D277" s="37"/>
      <c r="E277" s="37"/>
      <c r="F277" s="37"/>
      <c r="G277" s="37"/>
      <c r="H277" s="37"/>
    </row>
    <row r="278" spans="3:8" ht="15.6" x14ac:dyDescent="0.3">
      <c r="C278" s="35"/>
      <c r="D278" s="37"/>
      <c r="E278" s="37"/>
      <c r="F278" s="37"/>
      <c r="G278" s="37"/>
      <c r="H278" s="37"/>
    </row>
    <row r="279" spans="3:8" ht="15.6" x14ac:dyDescent="0.3">
      <c r="C279" s="35"/>
      <c r="D279" s="37"/>
      <c r="E279" s="37"/>
      <c r="F279" s="37"/>
      <c r="G279" s="37"/>
      <c r="H279" s="37"/>
    </row>
    <row r="280" spans="3:8" ht="15.6" x14ac:dyDescent="0.3">
      <c r="C280" s="35"/>
      <c r="D280" s="37"/>
      <c r="E280" s="37"/>
      <c r="F280" s="37"/>
      <c r="G280" s="37"/>
      <c r="H280" s="37"/>
    </row>
    <row r="281" spans="3:8" ht="15.6" x14ac:dyDescent="0.3">
      <c r="C281" s="35"/>
      <c r="D281" s="37"/>
      <c r="E281" s="37"/>
      <c r="F281" s="37"/>
      <c r="G281" s="37"/>
      <c r="H281" s="37"/>
    </row>
    <row r="282" spans="3:8" ht="15.6" x14ac:dyDescent="0.3">
      <c r="C282" s="35"/>
      <c r="D282" s="37"/>
      <c r="E282" s="37"/>
      <c r="F282" s="37"/>
      <c r="G282" s="37"/>
      <c r="H282" s="37"/>
    </row>
    <row r="283" spans="3:8" ht="15.6" x14ac:dyDescent="0.3">
      <c r="C283" s="35"/>
      <c r="D283" s="37"/>
      <c r="E283" s="37"/>
      <c r="F283" s="37"/>
      <c r="G283" s="37"/>
      <c r="H283" s="37"/>
    </row>
    <row r="284" spans="3:8" ht="15.6" x14ac:dyDescent="0.3">
      <c r="C284" s="35"/>
      <c r="D284" s="37"/>
      <c r="E284" s="37"/>
      <c r="F284" s="37"/>
      <c r="G284" s="37"/>
      <c r="H284" s="37"/>
    </row>
    <row r="285" spans="3:8" ht="15.6" x14ac:dyDescent="0.3">
      <c r="C285" s="35"/>
      <c r="D285" s="37"/>
      <c r="E285" s="37"/>
      <c r="F285" s="37"/>
      <c r="G285" s="37"/>
      <c r="H285" s="37"/>
    </row>
    <row r="286" spans="3:8" ht="15.6" x14ac:dyDescent="0.3">
      <c r="C286" s="35"/>
      <c r="D286" s="37"/>
      <c r="E286" s="37"/>
      <c r="F286" s="37"/>
      <c r="G286" s="37"/>
      <c r="H286" s="37"/>
    </row>
    <row r="287" spans="3:8" ht="15.6" x14ac:dyDescent="0.3">
      <c r="C287" s="35"/>
      <c r="D287" s="37"/>
      <c r="E287" s="37"/>
      <c r="F287" s="37"/>
      <c r="G287" s="37"/>
      <c r="H287" s="37"/>
    </row>
    <row r="288" spans="3:8" ht="15.6" x14ac:dyDescent="0.3">
      <c r="C288" s="35"/>
      <c r="D288" s="37"/>
      <c r="E288" s="37"/>
      <c r="F288" s="37"/>
      <c r="G288" s="37"/>
      <c r="H288" s="37"/>
    </row>
    <row r="289" spans="3:8" ht="15.6" x14ac:dyDescent="0.3">
      <c r="C289" s="35"/>
      <c r="D289" s="37"/>
      <c r="E289" s="37"/>
      <c r="F289" s="37"/>
      <c r="G289" s="37"/>
      <c r="H289" s="37"/>
    </row>
    <row r="290" spans="3:8" ht="15.6" x14ac:dyDescent="0.3">
      <c r="C290" s="35"/>
      <c r="D290" s="37"/>
      <c r="E290" s="37"/>
      <c r="F290" s="37"/>
      <c r="G290" s="37"/>
      <c r="H290" s="37"/>
    </row>
    <row r="291" spans="3:8" ht="15.6" x14ac:dyDescent="0.3">
      <c r="C291" s="35"/>
      <c r="D291" s="37"/>
      <c r="E291" s="37"/>
      <c r="F291" s="37"/>
      <c r="G291" s="37"/>
      <c r="H291" s="37"/>
    </row>
    <row r="292" spans="3:8" ht="15.6" x14ac:dyDescent="0.3">
      <c r="C292" s="35"/>
      <c r="D292" s="37"/>
      <c r="E292" s="37"/>
      <c r="F292" s="37"/>
      <c r="G292" s="37"/>
      <c r="H292" s="37"/>
    </row>
    <row r="293" spans="3:8" ht="15.6" x14ac:dyDescent="0.3">
      <c r="C293" s="35"/>
      <c r="D293" s="37"/>
      <c r="E293" s="37"/>
      <c r="F293" s="37"/>
      <c r="G293" s="37"/>
      <c r="H293" s="37"/>
    </row>
    <row r="294" spans="3:8" ht="15.6" x14ac:dyDescent="0.3">
      <c r="C294" s="35"/>
      <c r="D294" s="37"/>
      <c r="E294" s="37"/>
      <c r="F294" s="37"/>
      <c r="G294" s="37"/>
      <c r="H294" s="37"/>
    </row>
    <row r="295" spans="3:8" ht="15.6" x14ac:dyDescent="0.3">
      <c r="C295" s="35"/>
      <c r="D295" s="37"/>
      <c r="E295" s="37"/>
      <c r="F295" s="37"/>
      <c r="G295" s="37"/>
      <c r="H295" s="37"/>
    </row>
    <row r="296" spans="3:8" ht="15.6" x14ac:dyDescent="0.3">
      <c r="C296" s="35"/>
      <c r="D296" s="37"/>
      <c r="E296" s="37"/>
      <c r="F296" s="37"/>
      <c r="G296" s="37"/>
      <c r="H296" s="37"/>
    </row>
    <row r="297" spans="3:8" ht="15.6" x14ac:dyDescent="0.3">
      <c r="C297" s="35"/>
      <c r="D297" s="37"/>
      <c r="E297" s="37"/>
      <c r="F297" s="37"/>
      <c r="G297" s="37"/>
      <c r="H297" s="37"/>
    </row>
    <row r="298" spans="3:8" ht="15.6" x14ac:dyDescent="0.3">
      <c r="C298" s="35"/>
      <c r="D298" s="37"/>
      <c r="E298" s="37"/>
      <c r="F298" s="37"/>
      <c r="G298" s="37"/>
      <c r="H298" s="37"/>
    </row>
    <row r="299" spans="3:8" ht="15.6" x14ac:dyDescent="0.3">
      <c r="C299" s="35"/>
      <c r="D299" s="37"/>
      <c r="E299" s="37"/>
      <c r="F299" s="37"/>
      <c r="G299" s="37"/>
      <c r="H299" s="37"/>
    </row>
    <row r="300" spans="3:8" ht="15.6" x14ac:dyDescent="0.3">
      <c r="C300" s="35"/>
      <c r="D300" s="37"/>
      <c r="E300" s="37"/>
      <c r="F300" s="37"/>
      <c r="G300" s="37"/>
      <c r="H300" s="37"/>
    </row>
    <row r="301" spans="3:8" ht="15.6" x14ac:dyDescent="0.3">
      <c r="C301" s="35"/>
      <c r="D301" s="37"/>
      <c r="E301" s="37"/>
      <c r="F301" s="37"/>
      <c r="G301" s="37"/>
      <c r="H301" s="37"/>
    </row>
    <row r="302" spans="3:8" ht="15.6" x14ac:dyDescent="0.3">
      <c r="C302" s="35"/>
      <c r="D302" s="37"/>
      <c r="E302" s="37"/>
      <c r="F302" s="37"/>
      <c r="G302" s="37"/>
      <c r="H302" s="37"/>
    </row>
    <row r="303" spans="3:8" ht="15.6" x14ac:dyDescent="0.3">
      <c r="C303" s="35"/>
      <c r="D303" s="37"/>
      <c r="E303" s="37"/>
      <c r="F303" s="37"/>
      <c r="G303" s="37"/>
      <c r="H303" s="37"/>
    </row>
    <row r="304" spans="3:8" ht="15.6" x14ac:dyDescent="0.3">
      <c r="C304" s="35"/>
      <c r="D304" s="37"/>
      <c r="E304" s="37"/>
      <c r="F304" s="37"/>
      <c r="G304" s="37"/>
      <c r="H304" s="37"/>
    </row>
    <row r="305" spans="3:8" ht="15.6" x14ac:dyDescent="0.3">
      <c r="C305" s="35"/>
      <c r="D305" s="37"/>
      <c r="E305" s="37"/>
      <c r="F305" s="37"/>
      <c r="G305" s="37"/>
      <c r="H305" s="37"/>
    </row>
    <row r="306" spans="3:8" ht="15.6" x14ac:dyDescent="0.3">
      <c r="C306" s="35"/>
      <c r="D306" s="37"/>
      <c r="E306" s="37"/>
      <c r="F306" s="37"/>
      <c r="G306" s="37"/>
      <c r="H306" s="37"/>
    </row>
    <row r="307" spans="3:8" ht="15.6" x14ac:dyDescent="0.3">
      <c r="C307" s="35"/>
      <c r="D307" s="37"/>
      <c r="E307" s="37"/>
      <c r="F307" s="37"/>
      <c r="G307" s="37"/>
      <c r="H307" s="37"/>
    </row>
    <row r="308" spans="3:8" ht="15.6" x14ac:dyDescent="0.3">
      <c r="C308" s="35"/>
      <c r="D308" s="37"/>
      <c r="E308" s="37"/>
      <c r="F308" s="37"/>
      <c r="G308" s="37"/>
      <c r="H308" s="37"/>
    </row>
    <row r="309" spans="3:8" ht="15.6" x14ac:dyDescent="0.3">
      <c r="C309" s="35"/>
      <c r="D309" s="37"/>
      <c r="E309" s="37"/>
      <c r="F309" s="37"/>
      <c r="G309" s="37"/>
      <c r="H309" s="37"/>
    </row>
    <row r="310" spans="3:8" ht="15.6" x14ac:dyDescent="0.3">
      <c r="C310" s="35"/>
      <c r="D310" s="37"/>
      <c r="E310" s="37"/>
      <c r="F310" s="37"/>
      <c r="G310" s="37"/>
      <c r="H310" s="37"/>
    </row>
    <row r="311" spans="3:8" ht="15.6" x14ac:dyDescent="0.3">
      <c r="C311" s="35"/>
      <c r="D311" s="37"/>
      <c r="E311" s="37"/>
      <c r="F311" s="37"/>
      <c r="G311" s="37"/>
      <c r="H311" s="37"/>
    </row>
    <row r="312" spans="3:8" ht="15.6" x14ac:dyDescent="0.3">
      <c r="C312" s="35"/>
      <c r="D312" s="37"/>
      <c r="E312" s="37"/>
      <c r="F312" s="37"/>
      <c r="G312" s="37"/>
      <c r="H312" s="37"/>
    </row>
    <row r="313" spans="3:8" ht="15.6" x14ac:dyDescent="0.3">
      <c r="C313" s="35"/>
      <c r="D313" s="37"/>
      <c r="E313" s="37"/>
      <c r="F313" s="37"/>
      <c r="G313" s="37"/>
      <c r="H313" s="37"/>
    </row>
    <row r="314" spans="3:8" ht="15.6" x14ac:dyDescent="0.3">
      <c r="C314" s="35"/>
      <c r="D314" s="37"/>
      <c r="E314" s="37"/>
      <c r="F314" s="37"/>
      <c r="G314" s="37"/>
      <c r="H314" s="37"/>
    </row>
    <row r="315" spans="3:8" ht="15.6" x14ac:dyDescent="0.3">
      <c r="C315" s="35"/>
      <c r="D315" s="37"/>
      <c r="E315" s="37"/>
      <c r="F315" s="37"/>
      <c r="G315" s="37"/>
      <c r="H315" s="37"/>
    </row>
    <row r="316" spans="3:8" ht="15.6" x14ac:dyDescent="0.3">
      <c r="C316" s="35"/>
      <c r="D316" s="37"/>
      <c r="E316" s="37"/>
      <c r="F316" s="37"/>
      <c r="G316" s="37"/>
      <c r="H316" s="37"/>
    </row>
    <row r="317" spans="3:8" ht="15.6" x14ac:dyDescent="0.3">
      <c r="C317" s="35"/>
      <c r="D317" s="37"/>
      <c r="E317" s="37"/>
      <c r="F317" s="37"/>
      <c r="G317" s="37"/>
      <c r="H317" s="37"/>
    </row>
  </sheetData>
  <mergeCells count="14">
    <mergeCell ref="B6:C6"/>
    <mergeCell ref="B11:C11"/>
    <mergeCell ref="C15:H15"/>
    <mergeCell ref="F2:H2"/>
    <mergeCell ref="F3:H3"/>
    <mergeCell ref="F4:H4"/>
    <mergeCell ref="F5:H5"/>
    <mergeCell ref="F6:H6"/>
    <mergeCell ref="F7:H7"/>
    <mergeCell ref="F8:H8"/>
    <mergeCell ref="F9:H9"/>
    <mergeCell ref="F10:H10"/>
    <mergeCell ref="F11:H11"/>
    <mergeCell ref="F12:H12"/>
  </mergeCells>
  <dataValidations count="3">
    <dataValidation type="decimal" operator="greaterThanOrEqual" allowBlank="1" showInputMessage="1" showErrorMessage="1" errorTitle="Error" error="The value must be greater than zero." sqref="C7" xr:uid="{2E041205-8A66-41E8-8851-18FBD0EB3A75}">
      <formula1>0</formula1>
    </dataValidation>
    <dataValidation type="decimal" allowBlank="1" showInputMessage="1" showErrorMessage="1" errorTitle="Error" error="The value in this cell must be between 0 and 0.99_x000a_" sqref="C8:C9" xr:uid="{CB641567-1B59-4193-9F38-09C2EDF7A1A9}">
      <formula1>0</formula1>
      <formula2>0.99</formula2>
    </dataValidation>
    <dataValidation type="whole" operator="greaterThan" allowBlank="1" showInputMessage="1" showErrorMessage="1" errorTitle="Error" error="The value must be in whole numbers or the value should be greater than 1." sqref="C10" xr:uid="{A1840BE6-F2F3-450C-89F1-874CCF482704}">
      <formula1>1</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20AD2-67B7-49F1-92DB-07D3112E9132}">
  <sheetPr codeName="Sheet3"/>
  <dimension ref="A1:K38"/>
  <sheetViews>
    <sheetView workbookViewId="0">
      <pane ySplit="16" topLeftCell="A17" activePane="bottomLeft" state="frozen"/>
      <selection pane="bottomLeft" activeCell="C10" sqref="C10"/>
    </sheetView>
  </sheetViews>
  <sheetFormatPr defaultRowHeight="14.4" x14ac:dyDescent="0.3"/>
  <cols>
    <col min="1" max="1" width="7" customWidth="1"/>
    <col min="2" max="2" width="25.88671875" customWidth="1"/>
    <col min="3" max="3" width="25" style="52" customWidth="1"/>
    <col min="4" max="4" width="22.77734375" style="53" customWidth="1"/>
    <col min="5" max="5" width="26.21875" style="53" customWidth="1"/>
    <col min="6" max="6" width="33.44140625" style="53" customWidth="1"/>
    <col min="7" max="7" width="29.88671875" style="53" customWidth="1"/>
    <col min="8" max="8" width="24.44140625" style="49" customWidth="1"/>
    <col min="9" max="16384" width="8.88671875" style="49"/>
  </cols>
  <sheetData>
    <row r="1" spans="2:11" customFormat="1" x14ac:dyDescent="0.3"/>
    <row r="2" spans="2:11" customFormat="1" x14ac:dyDescent="0.3">
      <c r="F2" s="83" t="s">
        <v>43</v>
      </c>
      <c r="G2" s="84"/>
      <c r="H2" s="84"/>
    </row>
    <row r="3" spans="2:11" customFormat="1" x14ac:dyDescent="0.3">
      <c r="F3" s="85" t="s">
        <v>45</v>
      </c>
      <c r="G3" s="69"/>
      <c r="H3" s="70"/>
    </row>
    <row r="4" spans="2:11" customFormat="1" x14ac:dyDescent="0.3">
      <c r="F4" s="86" t="s">
        <v>67</v>
      </c>
      <c r="G4" s="87"/>
      <c r="H4" s="88"/>
    </row>
    <row r="5" spans="2:11" customFormat="1" x14ac:dyDescent="0.3">
      <c r="F5" s="89" t="s">
        <v>41</v>
      </c>
      <c r="G5" s="90"/>
      <c r="H5" s="91"/>
    </row>
    <row r="6" spans="2:11" customFormat="1" ht="15.6" x14ac:dyDescent="0.3">
      <c r="B6" s="92" t="s">
        <v>22</v>
      </c>
      <c r="C6" s="92"/>
      <c r="F6" s="89" t="s">
        <v>60</v>
      </c>
      <c r="G6" s="90"/>
      <c r="H6" s="91"/>
    </row>
    <row r="7" spans="2:11" customFormat="1" ht="15.6" x14ac:dyDescent="0.3">
      <c r="B7" s="4" t="s">
        <v>48</v>
      </c>
      <c r="C7" s="46">
        <v>30000</v>
      </c>
      <c r="F7" s="89" t="s">
        <v>63</v>
      </c>
      <c r="G7" s="90"/>
      <c r="H7" s="91"/>
    </row>
    <row r="8" spans="2:11" customFormat="1" ht="15.6" x14ac:dyDescent="0.3">
      <c r="B8" s="3" t="s">
        <v>23</v>
      </c>
      <c r="C8" s="22">
        <v>0.03</v>
      </c>
      <c r="D8" s="12"/>
      <c r="E8" s="12"/>
      <c r="F8" s="95" t="s">
        <v>42</v>
      </c>
      <c r="G8" s="96"/>
      <c r="H8" s="97"/>
      <c r="I8" s="12"/>
      <c r="J8" s="12"/>
      <c r="K8" s="12"/>
    </row>
    <row r="9" spans="2:11" customFormat="1" ht="15.6" x14ac:dyDescent="0.3">
      <c r="B9" s="3" t="s">
        <v>81</v>
      </c>
      <c r="C9" s="22">
        <v>3.5000000000000003E-2</v>
      </c>
      <c r="D9" s="12"/>
      <c r="E9" s="12"/>
      <c r="F9" s="85" t="s">
        <v>72</v>
      </c>
      <c r="G9" s="69"/>
      <c r="H9" s="70"/>
      <c r="I9" s="12"/>
      <c r="J9" s="12"/>
      <c r="K9" s="12"/>
    </row>
    <row r="10" spans="2:11" customFormat="1" ht="15.6" x14ac:dyDescent="0.3">
      <c r="B10" s="2" t="s">
        <v>76</v>
      </c>
      <c r="C10" s="23">
        <v>21</v>
      </c>
      <c r="D10" s="12"/>
      <c r="E10" s="12"/>
      <c r="F10" s="86" t="s">
        <v>73</v>
      </c>
      <c r="G10" s="87"/>
      <c r="H10" s="88"/>
      <c r="I10" s="12"/>
      <c r="J10" s="12"/>
      <c r="K10" s="12"/>
    </row>
    <row r="11" spans="2:11" customFormat="1" ht="15.6" x14ac:dyDescent="0.3">
      <c r="B11" s="92" t="s">
        <v>59</v>
      </c>
      <c r="C11" s="92"/>
      <c r="D11" s="12"/>
      <c r="E11" s="12"/>
      <c r="F11" s="85" t="s">
        <v>79</v>
      </c>
      <c r="G11" s="69"/>
      <c r="H11" s="70"/>
      <c r="I11" s="12"/>
      <c r="J11" s="12"/>
      <c r="K11" s="12"/>
    </row>
    <row r="12" spans="2:11" customFormat="1" ht="15.6" x14ac:dyDescent="0.3">
      <c r="B12" s="4" t="s">
        <v>49</v>
      </c>
      <c r="C12" s="47">
        <v>900</v>
      </c>
      <c r="D12" s="12"/>
      <c r="E12" s="12"/>
      <c r="F12" s="86" t="s">
        <v>80</v>
      </c>
      <c r="G12" s="87"/>
      <c r="H12" s="88"/>
      <c r="I12" s="12"/>
      <c r="J12" s="12"/>
      <c r="K12" s="12"/>
    </row>
    <row r="13" spans="2:11" customFormat="1" ht="15.6" x14ac:dyDescent="0.3">
      <c r="B13" s="2" t="s">
        <v>24</v>
      </c>
      <c r="C13" s="48">
        <v>27795.303869282281</v>
      </c>
      <c r="D13" s="12"/>
      <c r="E13" s="12"/>
      <c r="F13" s="98" t="s">
        <v>82</v>
      </c>
      <c r="G13" s="99"/>
      <c r="H13" s="100"/>
      <c r="I13" s="12"/>
      <c r="J13" s="12"/>
      <c r="K13" s="12"/>
    </row>
    <row r="14" spans="2:11" customFormat="1" x14ac:dyDescent="0.3">
      <c r="B14" s="12"/>
      <c r="C14" s="12"/>
      <c r="D14" s="12"/>
      <c r="E14" s="12"/>
      <c r="F14" s="55"/>
      <c r="G14" s="55"/>
      <c r="H14" s="55"/>
      <c r="I14" s="12"/>
      <c r="J14" s="12"/>
      <c r="K14" s="12"/>
    </row>
    <row r="15" spans="2:11" customFormat="1" ht="15.6" x14ac:dyDescent="0.3">
      <c r="B15" s="12"/>
      <c r="C15" s="93" t="s">
        <v>21</v>
      </c>
      <c r="D15" s="94"/>
      <c r="E15" s="94"/>
      <c r="F15" s="94"/>
      <c r="G15" s="94"/>
      <c r="H15" s="14"/>
      <c r="I15" s="12"/>
      <c r="J15" s="12"/>
      <c r="K15" s="12"/>
    </row>
    <row r="16" spans="2:11" customFormat="1" ht="15.6" x14ac:dyDescent="0.3">
      <c r="B16" s="12"/>
      <c r="C16" s="16" t="s">
        <v>2</v>
      </c>
      <c r="D16" s="16" t="s">
        <v>11</v>
      </c>
      <c r="E16" s="16" t="s">
        <v>12</v>
      </c>
      <c r="F16" s="16" t="s">
        <v>13</v>
      </c>
      <c r="G16" s="16" t="s">
        <v>14</v>
      </c>
      <c r="I16" s="12"/>
      <c r="J16" s="12"/>
      <c r="K16" s="12"/>
    </row>
    <row r="17" spans="1:8" s="12" customFormat="1" ht="15.6" x14ac:dyDescent="0.3">
      <c r="A17"/>
      <c r="C17" s="1">
        <v>0</v>
      </c>
      <c r="D17" s="36"/>
      <c r="E17" s="36"/>
      <c r="F17" s="36"/>
      <c r="G17" s="45">
        <v>27795.303869282281</v>
      </c>
    </row>
    <row r="18" spans="1:8" s="12" customFormat="1" ht="15.6" x14ac:dyDescent="0.3">
      <c r="A18"/>
      <c r="C18" s="1">
        <v>1</v>
      </c>
      <c r="D18" s="36">
        <v>900</v>
      </c>
      <c r="E18" s="36">
        <v>972.83563542487991</v>
      </c>
      <c r="F18" s="36">
        <v>-72.835635424879911</v>
      </c>
      <c r="G18" s="45">
        <v>27868.13950470716</v>
      </c>
    </row>
    <row r="19" spans="1:8" s="12" customFormat="1" ht="15.6" x14ac:dyDescent="0.3">
      <c r="A19"/>
      <c r="B19"/>
      <c r="C19" s="1">
        <v>2</v>
      </c>
      <c r="D19" s="36">
        <v>900</v>
      </c>
      <c r="E19" s="36">
        <v>975.38488266475065</v>
      </c>
      <c r="F19" s="36">
        <v>-75.384882664750648</v>
      </c>
      <c r="G19" s="45">
        <v>27943.524387371912</v>
      </c>
    </row>
    <row r="20" spans="1:8" s="12" customFormat="1" ht="15.6" x14ac:dyDescent="0.3">
      <c r="A20"/>
      <c r="B20"/>
      <c r="C20" s="1">
        <v>3</v>
      </c>
      <c r="D20" s="36">
        <v>900</v>
      </c>
      <c r="E20" s="36">
        <v>978.02335355801699</v>
      </c>
      <c r="F20" s="36">
        <v>-78.023353558016993</v>
      </c>
      <c r="G20" s="45">
        <v>28021.547740929927</v>
      </c>
    </row>
    <row r="21" spans="1:8" s="12" customFormat="1" ht="15.6" x14ac:dyDescent="0.3">
      <c r="A21"/>
      <c r="B21"/>
      <c r="C21" s="1">
        <v>4</v>
      </c>
      <c r="D21" s="36">
        <v>900</v>
      </c>
      <c r="E21" s="36">
        <v>980.75417093254759</v>
      </c>
      <c r="F21" s="36">
        <v>-80.754170932547595</v>
      </c>
      <c r="G21" s="45">
        <v>28102.301911862476</v>
      </c>
    </row>
    <row r="22" spans="1:8" s="12" customFormat="1" ht="15.6" x14ac:dyDescent="0.3">
      <c r="A22"/>
      <c r="B22"/>
      <c r="C22" s="1">
        <v>5</v>
      </c>
      <c r="D22" s="36">
        <v>900</v>
      </c>
      <c r="E22" s="36">
        <v>983.58056691518675</v>
      </c>
      <c r="F22" s="36">
        <v>-83.580566915186751</v>
      </c>
      <c r="G22" s="45">
        <v>28185.882478777661</v>
      </c>
    </row>
    <row r="23" spans="1:8" ht="15.6" x14ac:dyDescent="0.3">
      <c r="C23" s="1">
        <v>6</v>
      </c>
      <c r="D23" s="36">
        <v>900</v>
      </c>
      <c r="E23" s="36">
        <v>986.50588675721826</v>
      </c>
      <c r="F23" s="36">
        <v>-86.505886757218263</v>
      </c>
      <c r="G23" s="45">
        <v>28272.38836553488</v>
      </c>
    </row>
    <row r="24" spans="1:8" ht="15.6" x14ac:dyDescent="0.3">
      <c r="C24" s="1">
        <v>7</v>
      </c>
      <c r="D24" s="36">
        <v>900</v>
      </c>
      <c r="E24" s="36">
        <v>989.53359279372091</v>
      </c>
      <c r="F24" s="36">
        <v>-89.533592793720914</v>
      </c>
      <c r="G24" s="45">
        <v>28361.921958328599</v>
      </c>
      <c r="H24" s="54"/>
    </row>
    <row r="25" spans="1:8" ht="15.6" x14ac:dyDescent="0.3">
      <c r="C25" s="1">
        <v>8</v>
      </c>
      <c r="D25" s="36">
        <v>900</v>
      </c>
      <c r="E25" s="36">
        <v>992.66726854150113</v>
      </c>
      <c r="F25" s="36">
        <v>-92.66726854150113</v>
      </c>
      <c r="G25" s="45">
        <v>28454.589226870099</v>
      </c>
      <c r="H25" s="15"/>
    </row>
    <row r="26" spans="1:8" ht="15.6" x14ac:dyDescent="0.3">
      <c r="C26" s="1">
        <v>9</v>
      </c>
      <c r="D26" s="36">
        <v>900</v>
      </c>
      <c r="E26" s="36">
        <v>995.91062294045355</v>
      </c>
      <c r="F26" s="36">
        <v>-95.91062294045355</v>
      </c>
      <c r="G26" s="45">
        <v>28550.499849810552</v>
      </c>
      <c r="H26" s="50"/>
    </row>
    <row r="27" spans="1:8" ht="15.6" x14ac:dyDescent="0.3">
      <c r="C27" s="1">
        <v>10</v>
      </c>
      <c r="D27" s="36">
        <v>900</v>
      </c>
      <c r="E27" s="36">
        <v>999.26749474336941</v>
      </c>
      <c r="F27" s="36">
        <v>-99.267494743369411</v>
      </c>
      <c r="G27" s="45">
        <v>28649.767344553922</v>
      </c>
      <c r="H27" s="50"/>
    </row>
    <row r="28" spans="1:8" ht="15.6" x14ac:dyDescent="0.3">
      <c r="C28" s="1">
        <v>11</v>
      </c>
      <c r="D28" s="36">
        <v>900</v>
      </c>
      <c r="E28" s="36">
        <v>1002.7418570593874</v>
      </c>
      <c r="F28" s="36">
        <v>-102.74185705938737</v>
      </c>
      <c r="G28" s="45">
        <v>28752.509201613309</v>
      </c>
    </row>
    <row r="29" spans="1:8" ht="15.6" x14ac:dyDescent="0.3">
      <c r="C29" s="1">
        <v>12</v>
      </c>
      <c r="D29" s="36">
        <v>900</v>
      </c>
      <c r="E29" s="36">
        <v>1006.3378220564659</v>
      </c>
      <c r="F29" s="36">
        <v>-106.33782205646594</v>
      </c>
      <c r="G29" s="45">
        <v>28858.847023669776</v>
      </c>
    </row>
    <row r="30" spans="1:8" ht="15.6" x14ac:dyDescent="0.3">
      <c r="C30" s="1">
        <v>13</v>
      </c>
      <c r="D30" s="36">
        <v>900</v>
      </c>
      <c r="E30" s="36">
        <v>1010.0596458284423</v>
      </c>
      <c r="F30" s="36">
        <v>-110.05964582844229</v>
      </c>
      <c r="G30" s="45">
        <v>28968.906669498218</v>
      </c>
    </row>
    <row r="31" spans="1:8" ht="15.6" x14ac:dyDescent="0.3">
      <c r="C31" s="1">
        <v>14</v>
      </c>
      <c r="D31" s="36">
        <v>900</v>
      </c>
      <c r="E31" s="36">
        <v>1013.9117334324377</v>
      </c>
      <c r="F31" s="36">
        <v>-113.9117334324377</v>
      </c>
      <c r="G31" s="45">
        <v>29082.818402930654</v>
      </c>
    </row>
    <row r="32" spans="1:8" ht="15.6" x14ac:dyDescent="0.3">
      <c r="C32" s="1">
        <v>15</v>
      </c>
      <c r="D32" s="36">
        <v>900</v>
      </c>
      <c r="E32" s="36">
        <v>1017.898644102573</v>
      </c>
      <c r="F32" s="36">
        <v>-117.89864410257303</v>
      </c>
      <c r="G32" s="45">
        <v>29200.717047033228</v>
      </c>
    </row>
    <row r="33" spans="3:8" ht="15.6" x14ac:dyDescent="0.3">
      <c r="C33" s="1">
        <v>16</v>
      </c>
      <c r="D33" s="36">
        <v>900</v>
      </c>
      <c r="E33" s="36">
        <v>1022.0250966461631</v>
      </c>
      <c r="F33" s="36">
        <v>-122.02509664616309</v>
      </c>
      <c r="G33" s="45">
        <v>29322.742143679392</v>
      </c>
    </row>
    <row r="34" spans="3:8" ht="15.6" x14ac:dyDescent="0.3">
      <c r="C34" s="1">
        <v>17</v>
      </c>
      <c r="D34" s="36">
        <v>900</v>
      </c>
      <c r="E34" s="36">
        <v>1026.2959750287789</v>
      </c>
      <c r="F34" s="36">
        <v>-126.29597502877891</v>
      </c>
      <c r="G34" s="45">
        <v>29449.038118708169</v>
      </c>
    </row>
    <row r="35" spans="3:8" ht="15.6" x14ac:dyDescent="0.3">
      <c r="C35" s="1">
        <v>18</v>
      </c>
      <c r="D35" s="36">
        <v>900</v>
      </c>
      <c r="E35" s="36">
        <v>1030.716334154786</v>
      </c>
      <c r="F35" s="36">
        <v>-130.71633415478595</v>
      </c>
      <c r="G35" s="45">
        <v>29579.754452862955</v>
      </c>
      <c r="H35" s="51"/>
    </row>
    <row r="36" spans="3:8" ht="15.6" x14ac:dyDescent="0.3">
      <c r="C36" s="1">
        <v>19</v>
      </c>
      <c r="D36" s="36">
        <v>900</v>
      </c>
      <c r="E36" s="36">
        <v>1035.2914058502035</v>
      </c>
      <c r="F36" s="36">
        <v>-135.29140585020355</v>
      </c>
      <c r="G36" s="45">
        <v>29715.045858713158</v>
      </c>
      <c r="H36" s="51"/>
    </row>
    <row r="37" spans="3:8" ht="15.6" x14ac:dyDescent="0.3">
      <c r="C37" s="1">
        <v>20</v>
      </c>
      <c r="D37" s="36">
        <v>900</v>
      </c>
      <c r="E37" s="36">
        <v>1040.0266050549606</v>
      </c>
      <c r="F37" s="36">
        <v>-140.02660505496056</v>
      </c>
      <c r="G37" s="45">
        <v>29855.07246376812</v>
      </c>
      <c r="H37" s="51"/>
    </row>
    <row r="38" spans="3:8" ht="15.6" x14ac:dyDescent="0.3">
      <c r="C38" s="1">
        <v>21</v>
      </c>
      <c r="D38" s="36">
        <v>900</v>
      </c>
      <c r="E38" s="36">
        <v>1044.9275362318842</v>
      </c>
      <c r="F38" s="36">
        <v>-144.92753623188423</v>
      </c>
      <c r="G38" s="45">
        <v>30000.000000000004</v>
      </c>
      <c r="H38" s="51"/>
    </row>
  </sheetData>
  <mergeCells count="15">
    <mergeCell ref="F12:H12"/>
    <mergeCell ref="C15:G15"/>
    <mergeCell ref="B11:C11"/>
    <mergeCell ref="F7:H7"/>
    <mergeCell ref="F8:H8"/>
    <mergeCell ref="F9:H9"/>
    <mergeCell ref="F10:H10"/>
    <mergeCell ref="F11:H11"/>
    <mergeCell ref="F13:H13"/>
    <mergeCell ref="F2:H2"/>
    <mergeCell ref="F3:H3"/>
    <mergeCell ref="F4:H4"/>
    <mergeCell ref="F5:H5"/>
    <mergeCell ref="B6:C6"/>
    <mergeCell ref="F6:H6"/>
  </mergeCells>
  <dataValidations count="5">
    <dataValidation type="custom" allowBlank="1" showInputMessage="1" showErrorMessage="1" errorTitle="Error" error="For non-par bonds, the value of face amount must be blank" sqref="C12" xr:uid="{0B481AB7-AE34-402C-B790-0CEF0EEDE5F6}">
      <formula1>C7 = ""</formula1>
    </dataValidation>
    <dataValidation type="custom" allowBlank="1" showInputMessage="1" showErrorMessage="1" errorTitle="Error" error="For non-par bonds, the value of face amount must be blank" sqref="C13" xr:uid="{F0D5F433-5A96-43A5-9953-BFF42173FCB3}">
      <formula1>C7 = ""</formula1>
    </dataValidation>
    <dataValidation type="decimal" operator="greaterThanOrEqual" allowBlank="1" showInputMessage="1" showErrorMessage="1" errorTitle="Error" error="The value in this cell must be grater than zero." sqref="C7" xr:uid="{E04DBAF7-5CCC-4CEE-9E6D-986C8A627CEB}">
      <formula1>0</formula1>
    </dataValidation>
    <dataValidation type="decimal" allowBlank="1" showInputMessage="1" showErrorMessage="1" errorTitle="Error" error="The value in this cell must be between 0 and 0.99." sqref="C8:C9" xr:uid="{C7F83F81-24A5-433D-B689-ADF87B9760CC}">
      <formula1>0</formula1>
      <formula2>0.99</formula2>
    </dataValidation>
    <dataValidation type="whole" operator="greaterThan" allowBlank="1" showInputMessage="1" showErrorMessage="1" errorTitle="Error" error="The value must be in whole numbers or greater than 1." sqref="C10" xr:uid="{5EEAE0C9-B9A1-4344-B004-90DDDE245FA4}">
      <formula1>1</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01555-CE8A-4CA7-A373-8F9B04B38D2D}">
  <sheetPr codeName="Sheet5"/>
  <dimension ref="B4:K29"/>
  <sheetViews>
    <sheetView workbookViewId="0">
      <selection activeCell="F27" sqref="F27:F28"/>
    </sheetView>
  </sheetViews>
  <sheetFormatPr defaultRowHeight="14.4" x14ac:dyDescent="0.3"/>
  <cols>
    <col min="6" max="6" width="21.33203125" customWidth="1"/>
    <col min="7" max="7" width="18.6640625" customWidth="1"/>
    <col min="8" max="8" width="25.21875" customWidth="1"/>
    <col min="9" max="9" width="20.88671875" customWidth="1"/>
    <col min="10" max="10" width="19.109375" customWidth="1"/>
    <col min="11" max="11" width="19.33203125" customWidth="1"/>
  </cols>
  <sheetData>
    <row r="4" spans="2:11" x14ac:dyDescent="0.3">
      <c r="B4" s="104" t="s">
        <v>29</v>
      </c>
      <c r="C4" s="104"/>
      <c r="F4" s="104" t="s">
        <v>29</v>
      </c>
      <c r="G4" s="104"/>
      <c r="H4" s="104"/>
      <c r="I4" s="104"/>
      <c r="J4" s="104"/>
    </row>
    <row r="5" spans="2:11" ht="15.6" x14ac:dyDescent="0.3">
      <c r="B5" t="s">
        <v>30</v>
      </c>
      <c r="C5">
        <f>Amortization!C9+17</f>
        <v>38</v>
      </c>
      <c r="F5" s="16" t="s">
        <v>2</v>
      </c>
      <c r="G5" s="16" t="s">
        <v>15</v>
      </c>
      <c r="H5" s="16" t="s">
        <v>16</v>
      </c>
      <c r="I5" s="16" t="s">
        <v>17</v>
      </c>
      <c r="J5" s="16" t="s">
        <v>18</v>
      </c>
    </row>
    <row r="6" spans="2:11" ht="15.6" x14ac:dyDescent="0.3">
      <c r="B6" t="s">
        <v>31</v>
      </c>
      <c r="C6">
        <f>COLUMN(Amortization!G16)</f>
        <v>7</v>
      </c>
      <c r="F6" s="1">
        <v>0</v>
      </c>
      <c r="G6" s="36"/>
      <c r="H6" s="36"/>
      <c r="I6" s="36"/>
      <c r="J6" s="36" t="str">
        <f>$C$7</f>
        <v>$G$38</v>
      </c>
    </row>
    <row r="7" spans="2:11" ht="15.6" x14ac:dyDescent="0.3">
      <c r="B7" t="s">
        <v>32</v>
      </c>
      <c r="C7" t="str">
        <f>ADDRESS(C5,C6)</f>
        <v>$G$38</v>
      </c>
      <c r="F7" s="1">
        <f>F6+1</f>
        <v>1</v>
      </c>
      <c r="G7" s="36">
        <f>$C$11</f>
        <v>0</v>
      </c>
      <c r="H7" s="36" t="e">
        <f>J6*$C$8</f>
        <v>#VALUE!</v>
      </c>
      <c r="I7" s="36" t="e">
        <f>G7-H7</f>
        <v>#VALUE!</v>
      </c>
      <c r="J7" s="36" t="e">
        <f>J6-I7</f>
        <v>#VALUE!</v>
      </c>
    </row>
    <row r="9" spans="2:11" x14ac:dyDescent="0.3">
      <c r="B9" s="104" t="s">
        <v>64</v>
      </c>
      <c r="C9" s="104"/>
    </row>
    <row r="10" spans="2:11" ht="15.6" x14ac:dyDescent="0.3">
      <c r="B10" t="s">
        <v>32</v>
      </c>
      <c r="C10" t="str">
        <f>ADDRESS(C5+1,C6)</f>
        <v>$G$39</v>
      </c>
      <c r="F10" s="39" t="e">
        <f>PMT($C$8,$C$9,-$C$7)</f>
        <v>#VALUE!</v>
      </c>
    </row>
    <row r="13" spans="2:11" x14ac:dyDescent="0.3">
      <c r="B13" s="104" t="s">
        <v>33</v>
      </c>
      <c r="C13" s="104"/>
      <c r="F13" s="104" t="s">
        <v>33</v>
      </c>
      <c r="G13" s="104"/>
      <c r="H13" s="104"/>
      <c r="I13" s="104"/>
      <c r="J13" s="104"/>
      <c r="K13" s="104"/>
    </row>
    <row r="14" spans="2:11" ht="15.6" x14ac:dyDescent="0.3">
      <c r="B14" t="s">
        <v>30</v>
      </c>
      <c r="C14">
        <f>'Sinking Fund'!C10+17</f>
        <v>47</v>
      </c>
      <c r="F14" s="5" t="s">
        <v>2</v>
      </c>
      <c r="G14" s="5" t="s">
        <v>5</v>
      </c>
      <c r="H14" s="5" t="s">
        <v>6</v>
      </c>
      <c r="I14" s="5" t="s">
        <v>7</v>
      </c>
      <c r="J14" s="6" t="s">
        <v>8</v>
      </c>
      <c r="K14" s="6" t="s">
        <v>9</v>
      </c>
    </row>
    <row r="15" spans="2:11" ht="15.6" x14ac:dyDescent="0.3">
      <c r="B15" t="s">
        <v>31</v>
      </c>
      <c r="C15">
        <f>COLUMN('Sinking Fund'!H16)</f>
        <v>8</v>
      </c>
      <c r="F15" s="34">
        <v>0</v>
      </c>
      <c r="G15" s="36"/>
      <c r="H15" s="36"/>
      <c r="I15" s="36"/>
      <c r="J15" s="36">
        <v>0</v>
      </c>
      <c r="K15" s="36" t="str">
        <f>$C$7</f>
        <v>$G$38</v>
      </c>
    </row>
    <row r="16" spans="2:11" ht="15.6" x14ac:dyDescent="0.3">
      <c r="B16" t="s">
        <v>32</v>
      </c>
      <c r="C16" t="str">
        <f>ADDRESS(C14,C15)</f>
        <v>$H$47</v>
      </c>
      <c r="F16" s="34">
        <f>F15+1</f>
        <v>1</v>
      </c>
      <c r="G16" s="36">
        <f>$C$12</f>
        <v>0</v>
      </c>
      <c r="H16" s="36">
        <f>$C$13</f>
        <v>0</v>
      </c>
      <c r="I16" s="36">
        <f>$C$9*J15</f>
        <v>0</v>
      </c>
      <c r="J16" s="36">
        <f>J15+H16+I16</f>
        <v>0</v>
      </c>
      <c r="K16" s="36">
        <f>$H$17-J16</f>
        <v>0</v>
      </c>
    </row>
    <row r="18" spans="2:10" x14ac:dyDescent="0.3">
      <c r="B18" s="104" t="s">
        <v>64</v>
      </c>
      <c r="C18" s="104"/>
    </row>
    <row r="19" spans="2:10" ht="15.6" x14ac:dyDescent="0.3">
      <c r="B19" t="s">
        <v>32</v>
      </c>
      <c r="C19" t="str">
        <f>ADDRESS(C14+1,C15)</f>
        <v>$H$48</v>
      </c>
      <c r="F19" s="7" t="e">
        <f>F14*F15</f>
        <v>#VALUE!</v>
      </c>
    </row>
    <row r="20" spans="2:10" ht="15.6" x14ac:dyDescent="0.3">
      <c r="F20" s="8" t="e">
        <f>PMT(F16,F17,0,-$C$7)</f>
        <v>#VALUE!</v>
      </c>
    </row>
    <row r="22" spans="2:10" x14ac:dyDescent="0.3">
      <c r="F22" s="104" t="s">
        <v>47</v>
      </c>
      <c r="G22" s="104"/>
      <c r="H22" s="104"/>
      <c r="I22" s="104"/>
      <c r="J22" s="104"/>
    </row>
    <row r="23" spans="2:10" ht="15.6" x14ac:dyDescent="0.3">
      <c r="B23" s="104" t="s">
        <v>47</v>
      </c>
      <c r="C23" s="104"/>
      <c r="F23" s="16" t="s">
        <v>2</v>
      </c>
      <c r="G23" s="16" t="s">
        <v>11</v>
      </c>
      <c r="H23" s="16" t="s">
        <v>12</v>
      </c>
      <c r="I23" s="16" t="s">
        <v>13</v>
      </c>
      <c r="J23" s="16" t="s">
        <v>14</v>
      </c>
    </row>
    <row r="24" spans="2:10" ht="15.6" x14ac:dyDescent="0.3">
      <c r="B24" t="s">
        <v>30</v>
      </c>
      <c r="C24">
        <f>'Bond Amortization'!C10+17</f>
        <v>38</v>
      </c>
      <c r="F24" s="1">
        <v>0</v>
      </c>
      <c r="G24" s="36"/>
      <c r="H24" s="36"/>
      <c r="I24" s="36"/>
      <c r="J24" s="45">
        <f>$C$13</f>
        <v>0</v>
      </c>
    </row>
    <row r="25" spans="2:10" ht="15.6" x14ac:dyDescent="0.3">
      <c r="B25" t="s">
        <v>31</v>
      </c>
      <c r="C25">
        <f>COLUMN('Bond Amortization'!G16)</f>
        <v>7</v>
      </c>
      <c r="F25" s="1">
        <f>F24+1</f>
        <v>1</v>
      </c>
      <c r="G25" s="36">
        <f>$C$12</f>
        <v>0</v>
      </c>
      <c r="H25" s="36">
        <f>J24*$C$9</f>
        <v>0</v>
      </c>
      <c r="I25" s="36">
        <f>G25-H25</f>
        <v>0</v>
      </c>
      <c r="J25" s="45">
        <f>(J24-I25)</f>
        <v>0</v>
      </c>
    </row>
    <row r="26" spans="2:10" x14ac:dyDescent="0.3">
      <c r="B26" t="s">
        <v>32</v>
      </c>
      <c r="C26" t="str">
        <f>ADDRESS(C24,C25)</f>
        <v>$G$38</v>
      </c>
    </row>
    <row r="27" spans="2:10" ht="15.6" x14ac:dyDescent="0.3">
      <c r="F27" s="47" t="e">
        <f>F22*F23</f>
        <v>#VALUE!</v>
      </c>
    </row>
    <row r="28" spans="2:10" ht="15.6" x14ac:dyDescent="0.3">
      <c r="B28" s="104" t="s">
        <v>64</v>
      </c>
      <c r="C28" s="104"/>
      <c r="F28" s="48" t="e">
        <f>-PV(F24,F25,F27,F22)</f>
        <v>#VALUE!</v>
      </c>
    </row>
    <row r="29" spans="2:10" x14ac:dyDescent="0.3">
      <c r="B29" t="s">
        <v>65</v>
      </c>
      <c r="C29" t="str">
        <f>ADDRESS(C24+1,C25)</f>
        <v>$G$39</v>
      </c>
    </row>
  </sheetData>
  <mergeCells count="9">
    <mergeCell ref="B28:C28"/>
    <mergeCell ref="B4:C4"/>
    <mergeCell ref="F4:J4"/>
    <mergeCell ref="F13:K13"/>
    <mergeCell ref="B13:C13"/>
    <mergeCell ref="B23:C23"/>
    <mergeCell ref="B9:C9"/>
    <mergeCell ref="B18:C18"/>
    <mergeCell ref="F22:J2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6</vt:i4>
      </vt:variant>
    </vt:vector>
  </HeadingPairs>
  <TitlesOfParts>
    <vt:vector size="11" baseType="lpstr">
      <vt:lpstr>User Guide</vt:lpstr>
      <vt:lpstr>Amortization</vt:lpstr>
      <vt:lpstr>Sinking Fund</vt:lpstr>
      <vt:lpstr>Bond Amortization</vt:lpstr>
      <vt:lpstr>Preset</vt:lpstr>
      <vt:lpstr>amortcell</vt:lpstr>
      <vt:lpstr>bondcell</vt:lpstr>
      <vt:lpstr>scrollbond</vt:lpstr>
      <vt:lpstr>scrollloan</vt:lpstr>
      <vt:lpstr>scrollsf</vt:lpstr>
      <vt:lpstr>sfcell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63926</dc:creator>
  <cp:lastModifiedBy>63926</cp:lastModifiedBy>
  <dcterms:created xsi:type="dcterms:W3CDTF">2022-03-16T18:01:51Z</dcterms:created>
  <dcterms:modified xsi:type="dcterms:W3CDTF">2022-03-21T17:33:36Z</dcterms:modified>
</cp:coreProperties>
</file>